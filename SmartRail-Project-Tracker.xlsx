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works\Final\"/>
    </mc:Choice>
  </mc:AlternateContent>
  <xr:revisionPtr revIDLastSave="0" documentId="13_ncr:1_{8075C845-4BC3-49D6-A076-3BBBC57E5BFC}" xr6:coauthVersionLast="47" xr6:coauthVersionMax="47" xr10:uidLastSave="{00000000-0000-0000-0000-000000000000}"/>
  <bookViews>
    <workbookView xWindow="-108" yWindow="-108" windowWidth="23256" windowHeight="13896" xr2:uid="{00000000-000D-0000-FFFF-FFFF00000000}"/>
  </bookViews>
  <sheets>
    <sheet name="Dashboard" sheetId="1" r:id="rId1"/>
    <sheet name="WBS" sheetId="2" r:id="rId2"/>
    <sheet name="Gantt" sheetId="3" r:id="rId3"/>
    <sheet name="AI Policy" sheetId="4" r:id="rId4"/>
    <sheet name="AI Usage Log" sheetId="5" r:id="rId5"/>
    <sheet name="Prompt Library" sheetId="6" r:id="rId6"/>
    <sheet name="AI Failures" sheetId="7" r:id="rId7"/>
    <sheet name="Modified Impl" sheetId="8" r:id="rId8"/>
    <sheet name="AI Summary" sheetId="9" r:id="rId9"/>
    <sheet name="Decisions" sheetId="10" r:id="rId10"/>
    <sheet name="Risks" sheetId="11" r:id="rId11"/>
    <sheet name="Defects" sheetId="12" r:id="rId12"/>
    <sheet name="Deferred" sheetId="13" r:id="rId13"/>
    <sheet name="Lists" sheetId="14" r:id="rId14"/>
    <sheet name="How to use" sheetId="15" r:id="rId15"/>
  </sheets>
  <definedNames>
    <definedName name="_xlnm._FilterDatabase" localSheetId="6" hidden="1">'AI Failures'!$A$4:$K$44</definedName>
    <definedName name="_xlnm._FilterDatabase" localSheetId="4" hidden="1">'AI Usage Log'!$A$4:$R$204</definedName>
    <definedName name="_xlnm._FilterDatabase" localSheetId="9" hidden="1">Decisions!$A$4:$I$34</definedName>
    <definedName name="_xlnm._FilterDatabase" localSheetId="7" hidden="1">'Modified Impl'!$A$4:$J$44</definedName>
    <definedName name="_xlnm._FilterDatabase" localSheetId="5" hidden="1">'Prompt Library'!$A$4:$J$84</definedName>
    <definedName name="_xlnm._FilterDatabase" localSheetId="1" hidden="1">WBS!$A$4:$Q$144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1" l="1"/>
  <c r="E13" i="11"/>
  <c r="E12" i="11"/>
  <c r="E11" i="11"/>
  <c r="E10" i="11"/>
  <c r="E9" i="11"/>
  <c r="E8" i="11"/>
  <c r="E7" i="11"/>
  <c r="E6" i="11"/>
  <c r="E5" i="11"/>
  <c r="F39" i="9"/>
  <c r="E39" i="9"/>
  <c r="C39" i="9"/>
  <c r="B39" i="9"/>
  <c r="F38" i="9"/>
  <c r="E38" i="9"/>
  <c r="C38" i="9"/>
  <c r="B38" i="9"/>
  <c r="F37" i="9"/>
  <c r="E37" i="9"/>
  <c r="C37" i="9"/>
  <c r="D37" i="9" s="1"/>
  <c r="B37" i="9"/>
  <c r="E36" i="9"/>
  <c r="C36" i="9"/>
  <c r="B36" i="9"/>
  <c r="F35" i="9"/>
  <c r="E35" i="9"/>
  <c r="C35" i="9"/>
  <c r="B35" i="9"/>
  <c r="F34" i="9"/>
  <c r="E34" i="9"/>
  <c r="C34" i="9"/>
  <c r="B34" i="9"/>
  <c r="C28" i="9"/>
  <c r="B28" i="9"/>
  <c r="F27" i="9"/>
  <c r="C27" i="9"/>
  <c r="B27" i="9"/>
  <c r="F26" i="9"/>
  <c r="C26" i="9"/>
  <c r="B26" i="9"/>
  <c r="F25" i="9"/>
  <c r="C25" i="9"/>
  <c r="B25" i="9"/>
  <c r="F24" i="9"/>
  <c r="C24" i="9"/>
  <c r="B24" i="9"/>
  <c r="F23" i="9"/>
  <c r="C23" i="9"/>
  <c r="B23" i="9"/>
  <c r="F22" i="9"/>
  <c r="C22" i="9"/>
  <c r="B22" i="9"/>
  <c r="F21" i="9"/>
  <c r="C21" i="9"/>
  <c r="B21" i="9"/>
  <c r="F20" i="9"/>
  <c r="C20" i="9"/>
  <c r="B20" i="9"/>
  <c r="F19" i="9"/>
  <c r="C19" i="9"/>
  <c r="B19" i="9"/>
  <c r="B14" i="9"/>
  <c r="B13" i="9"/>
  <c r="B10" i="9"/>
  <c r="B12" i="9" s="1"/>
  <c r="B8" i="9"/>
  <c r="B7" i="9"/>
  <c r="B6" i="9"/>
  <c r="B5" i="9"/>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Q204" i="5"/>
  <c r="C204" i="5"/>
  <c r="A204" i="5"/>
  <c r="Q203" i="5"/>
  <c r="C203" i="5"/>
  <c r="A203" i="5"/>
  <c r="Q202" i="5"/>
  <c r="C202" i="5"/>
  <c r="A202" i="5"/>
  <c r="Q201" i="5"/>
  <c r="C201" i="5"/>
  <c r="A201" i="5"/>
  <c r="Q200" i="5"/>
  <c r="C200" i="5"/>
  <c r="A200" i="5"/>
  <c r="Q199" i="5"/>
  <c r="C199" i="5"/>
  <c r="A199" i="5"/>
  <c r="Q198" i="5"/>
  <c r="C198" i="5"/>
  <c r="A198" i="5"/>
  <c r="Q197" i="5"/>
  <c r="C197" i="5"/>
  <c r="A197" i="5"/>
  <c r="Q196" i="5"/>
  <c r="C196" i="5"/>
  <c r="A196" i="5"/>
  <c r="Q195" i="5"/>
  <c r="C195" i="5"/>
  <c r="A195" i="5"/>
  <c r="Q194" i="5"/>
  <c r="C194" i="5"/>
  <c r="A194" i="5"/>
  <c r="Q193" i="5"/>
  <c r="C193" i="5"/>
  <c r="A193" i="5"/>
  <c r="Q192" i="5"/>
  <c r="C192" i="5"/>
  <c r="A192" i="5"/>
  <c r="Q191" i="5"/>
  <c r="C191" i="5"/>
  <c r="A191" i="5"/>
  <c r="Q190" i="5"/>
  <c r="C190" i="5"/>
  <c r="A190" i="5"/>
  <c r="Q189" i="5"/>
  <c r="C189" i="5"/>
  <c r="A189" i="5"/>
  <c r="Q188" i="5"/>
  <c r="C188" i="5"/>
  <c r="A188" i="5"/>
  <c r="Q187" i="5"/>
  <c r="C187" i="5"/>
  <c r="A187" i="5"/>
  <c r="Q186" i="5"/>
  <c r="C186" i="5"/>
  <c r="A186" i="5"/>
  <c r="Q185" i="5"/>
  <c r="C185" i="5"/>
  <c r="A185" i="5"/>
  <c r="Q184" i="5"/>
  <c r="C184" i="5"/>
  <c r="A184" i="5"/>
  <c r="Q183" i="5"/>
  <c r="C183" i="5"/>
  <c r="A183" i="5"/>
  <c r="Q182" i="5"/>
  <c r="C182" i="5"/>
  <c r="A182" i="5"/>
  <c r="Q181" i="5"/>
  <c r="C181" i="5"/>
  <c r="A181" i="5"/>
  <c r="Q180" i="5"/>
  <c r="C180" i="5"/>
  <c r="A180" i="5"/>
  <c r="Q179" i="5"/>
  <c r="C179" i="5"/>
  <c r="A179" i="5"/>
  <c r="Q178" i="5"/>
  <c r="C178" i="5"/>
  <c r="A178" i="5"/>
  <c r="Q177" i="5"/>
  <c r="C177" i="5"/>
  <c r="A177" i="5"/>
  <c r="Q176" i="5"/>
  <c r="C176" i="5"/>
  <c r="A176" i="5"/>
  <c r="Q175" i="5"/>
  <c r="C175" i="5"/>
  <c r="A175" i="5"/>
  <c r="Q174" i="5"/>
  <c r="C174" i="5"/>
  <c r="A174" i="5"/>
  <c r="Q173" i="5"/>
  <c r="C173" i="5"/>
  <c r="A173" i="5"/>
  <c r="Q172" i="5"/>
  <c r="C172" i="5"/>
  <c r="A172" i="5"/>
  <c r="Q171" i="5"/>
  <c r="C171" i="5"/>
  <c r="A171" i="5"/>
  <c r="Q170" i="5"/>
  <c r="C170" i="5"/>
  <c r="A170" i="5"/>
  <c r="Q169" i="5"/>
  <c r="C169" i="5"/>
  <c r="A169" i="5"/>
  <c r="Q168" i="5"/>
  <c r="C168" i="5"/>
  <c r="A168" i="5"/>
  <c r="Q167" i="5"/>
  <c r="C167" i="5"/>
  <c r="A167" i="5"/>
  <c r="Q166" i="5"/>
  <c r="C166" i="5"/>
  <c r="A166" i="5"/>
  <c r="Q165" i="5"/>
  <c r="C165" i="5"/>
  <c r="A165" i="5"/>
  <c r="Q164" i="5"/>
  <c r="C164" i="5"/>
  <c r="A164" i="5"/>
  <c r="Q163" i="5"/>
  <c r="C163" i="5"/>
  <c r="A163" i="5"/>
  <c r="Q162" i="5"/>
  <c r="C162" i="5"/>
  <c r="A162" i="5"/>
  <c r="Q161" i="5"/>
  <c r="C161" i="5"/>
  <c r="A161" i="5"/>
  <c r="Q160" i="5"/>
  <c r="C160" i="5"/>
  <c r="A160" i="5"/>
  <c r="Q159" i="5"/>
  <c r="C159" i="5"/>
  <c r="A159" i="5"/>
  <c r="Q158" i="5"/>
  <c r="C158" i="5"/>
  <c r="A158" i="5"/>
  <c r="Q157" i="5"/>
  <c r="C157" i="5"/>
  <c r="A157" i="5"/>
  <c r="Q156" i="5"/>
  <c r="C156" i="5"/>
  <c r="A156" i="5"/>
  <c r="Q155" i="5"/>
  <c r="C155" i="5"/>
  <c r="A155" i="5"/>
  <c r="Q154" i="5"/>
  <c r="C154" i="5"/>
  <c r="A154" i="5"/>
  <c r="Q153" i="5"/>
  <c r="C153" i="5"/>
  <c r="A153" i="5"/>
  <c r="Q152" i="5"/>
  <c r="C152" i="5"/>
  <c r="A152" i="5"/>
  <c r="Q151" i="5"/>
  <c r="C151" i="5"/>
  <c r="A151" i="5"/>
  <c r="Q150" i="5"/>
  <c r="C150" i="5"/>
  <c r="A150" i="5"/>
  <c r="Q149" i="5"/>
  <c r="C149" i="5"/>
  <c r="A149" i="5"/>
  <c r="Q148" i="5"/>
  <c r="C148" i="5"/>
  <c r="A148" i="5"/>
  <c r="Q147" i="5"/>
  <c r="C147" i="5"/>
  <c r="A147" i="5"/>
  <c r="Q146" i="5"/>
  <c r="C146" i="5"/>
  <c r="A146" i="5"/>
  <c r="Q145" i="5"/>
  <c r="C145" i="5"/>
  <c r="A145" i="5"/>
  <c r="Q144" i="5"/>
  <c r="C144" i="5"/>
  <c r="A144" i="5"/>
  <c r="Q143" i="5"/>
  <c r="C143" i="5"/>
  <c r="A143" i="5"/>
  <c r="Q142" i="5"/>
  <c r="C142" i="5"/>
  <c r="A142" i="5"/>
  <c r="Q141" i="5"/>
  <c r="C141" i="5"/>
  <c r="A141" i="5"/>
  <c r="Q140" i="5"/>
  <c r="C140" i="5"/>
  <c r="A140" i="5"/>
  <c r="Q139" i="5"/>
  <c r="C139" i="5"/>
  <c r="A139" i="5"/>
  <c r="Q138" i="5"/>
  <c r="C138" i="5"/>
  <c r="A138" i="5"/>
  <c r="Q137" i="5"/>
  <c r="C137" i="5"/>
  <c r="A137" i="5"/>
  <c r="Q136" i="5"/>
  <c r="C136" i="5"/>
  <c r="A136" i="5"/>
  <c r="Q135" i="5"/>
  <c r="C135" i="5"/>
  <c r="A135" i="5"/>
  <c r="Q134" i="5"/>
  <c r="C134" i="5"/>
  <c r="A134" i="5"/>
  <c r="Q133" i="5"/>
  <c r="C133" i="5"/>
  <c r="A133" i="5"/>
  <c r="Q132" i="5"/>
  <c r="C132" i="5"/>
  <c r="A132" i="5"/>
  <c r="Q131" i="5"/>
  <c r="C131" i="5"/>
  <c r="A131" i="5"/>
  <c r="Q130" i="5"/>
  <c r="C130" i="5"/>
  <c r="A130" i="5"/>
  <c r="Q129" i="5"/>
  <c r="C129" i="5"/>
  <c r="A129" i="5"/>
  <c r="Q128" i="5"/>
  <c r="C128" i="5"/>
  <c r="A128" i="5"/>
  <c r="Q127" i="5"/>
  <c r="C127" i="5"/>
  <c r="A127" i="5"/>
  <c r="Q126" i="5"/>
  <c r="C126" i="5"/>
  <c r="A126" i="5"/>
  <c r="Q125" i="5"/>
  <c r="C125" i="5"/>
  <c r="A125" i="5"/>
  <c r="Q124" i="5"/>
  <c r="C124" i="5"/>
  <c r="A124" i="5"/>
  <c r="Q123" i="5"/>
  <c r="C123" i="5"/>
  <c r="A123" i="5"/>
  <c r="Q122" i="5"/>
  <c r="C122" i="5"/>
  <c r="A122" i="5"/>
  <c r="Q121" i="5"/>
  <c r="C121" i="5"/>
  <c r="A121" i="5"/>
  <c r="Q120" i="5"/>
  <c r="C120" i="5"/>
  <c r="A120" i="5"/>
  <c r="Q119" i="5"/>
  <c r="C119" i="5"/>
  <c r="A119" i="5"/>
  <c r="Q118" i="5"/>
  <c r="C118" i="5"/>
  <c r="A118" i="5"/>
  <c r="Q117" i="5"/>
  <c r="C117" i="5"/>
  <c r="A117" i="5"/>
  <c r="Q116" i="5"/>
  <c r="C116" i="5"/>
  <c r="A116" i="5"/>
  <c r="Q115" i="5"/>
  <c r="C115" i="5"/>
  <c r="A115" i="5"/>
  <c r="Q114" i="5"/>
  <c r="C114" i="5"/>
  <c r="A114" i="5"/>
  <c r="Q113" i="5"/>
  <c r="C113" i="5"/>
  <c r="A113" i="5"/>
  <c r="Q112" i="5"/>
  <c r="C112" i="5"/>
  <c r="A112" i="5"/>
  <c r="Q111" i="5"/>
  <c r="C111" i="5"/>
  <c r="A111" i="5"/>
  <c r="Q110" i="5"/>
  <c r="C110" i="5"/>
  <c r="A110" i="5"/>
  <c r="Q109" i="5"/>
  <c r="C109" i="5"/>
  <c r="A109" i="5"/>
  <c r="Q108" i="5"/>
  <c r="C108" i="5"/>
  <c r="A108" i="5"/>
  <c r="Q107" i="5"/>
  <c r="C107" i="5"/>
  <c r="A107" i="5"/>
  <c r="Q106" i="5"/>
  <c r="C106" i="5"/>
  <c r="A106" i="5"/>
  <c r="Q105" i="5"/>
  <c r="C105" i="5"/>
  <c r="A105" i="5"/>
  <c r="Q104" i="5"/>
  <c r="C104" i="5"/>
  <c r="A104" i="5"/>
  <c r="Q103" i="5"/>
  <c r="C103" i="5"/>
  <c r="A103" i="5"/>
  <c r="Q102" i="5"/>
  <c r="C102" i="5"/>
  <c r="A102" i="5"/>
  <c r="Q101" i="5"/>
  <c r="C101" i="5"/>
  <c r="A101" i="5"/>
  <c r="Q100" i="5"/>
  <c r="C100" i="5"/>
  <c r="A100" i="5"/>
  <c r="Q99" i="5"/>
  <c r="C99" i="5"/>
  <c r="A99" i="5"/>
  <c r="Q98" i="5"/>
  <c r="C98" i="5"/>
  <c r="A98" i="5"/>
  <c r="Q97" i="5"/>
  <c r="C97" i="5"/>
  <c r="A97" i="5"/>
  <c r="Q96" i="5"/>
  <c r="C96" i="5"/>
  <c r="A96" i="5"/>
  <c r="Q95" i="5"/>
  <c r="C95" i="5"/>
  <c r="A95" i="5"/>
  <c r="Q94" i="5"/>
  <c r="C94" i="5"/>
  <c r="A94" i="5"/>
  <c r="Q93" i="5"/>
  <c r="C93" i="5"/>
  <c r="A93" i="5"/>
  <c r="Q92" i="5"/>
  <c r="C92" i="5"/>
  <c r="A92" i="5"/>
  <c r="Q91" i="5"/>
  <c r="C91" i="5"/>
  <c r="A91" i="5"/>
  <c r="Q90" i="5"/>
  <c r="C90" i="5"/>
  <c r="A90" i="5"/>
  <c r="Q89" i="5"/>
  <c r="C89" i="5"/>
  <c r="A89" i="5"/>
  <c r="Q88" i="5"/>
  <c r="C88" i="5"/>
  <c r="A88" i="5"/>
  <c r="Q87" i="5"/>
  <c r="C87" i="5"/>
  <c r="A87" i="5"/>
  <c r="Q86" i="5"/>
  <c r="C86" i="5"/>
  <c r="A86" i="5"/>
  <c r="Q85" i="5"/>
  <c r="C85" i="5"/>
  <c r="A85" i="5"/>
  <c r="Q84" i="5"/>
  <c r="C84" i="5"/>
  <c r="A84" i="5"/>
  <c r="Q83" i="5"/>
  <c r="C83" i="5"/>
  <c r="A83" i="5"/>
  <c r="Q82" i="5"/>
  <c r="C82" i="5"/>
  <c r="A82" i="5"/>
  <c r="Q81" i="5"/>
  <c r="C81" i="5"/>
  <c r="A81" i="5"/>
  <c r="Q80" i="5"/>
  <c r="C80" i="5"/>
  <c r="A80" i="5"/>
  <c r="Q79" i="5"/>
  <c r="C79" i="5"/>
  <c r="A79" i="5"/>
  <c r="Q78" i="5"/>
  <c r="C78" i="5"/>
  <c r="A78" i="5"/>
  <c r="Q77" i="5"/>
  <c r="C77" i="5"/>
  <c r="A77" i="5"/>
  <c r="Q76" i="5"/>
  <c r="C76" i="5"/>
  <c r="A76" i="5"/>
  <c r="Q75" i="5"/>
  <c r="C75" i="5"/>
  <c r="A75" i="5"/>
  <c r="Q74" i="5"/>
  <c r="C74" i="5"/>
  <c r="A74" i="5"/>
  <c r="Q73" i="5"/>
  <c r="C73" i="5"/>
  <c r="A73" i="5"/>
  <c r="Q72" i="5"/>
  <c r="C72" i="5"/>
  <c r="A72" i="5"/>
  <c r="Q71" i="5"/>
  <c r="C71" i="5"/>
  <c r="A71" i="5"/>
  <c r="Q70" i="5"/>
  <c r="C70" i="5"/>
  <c r="A70" i="5"/>
  <c r="Q69" i="5"/>
  <c r="C69" i="5"/>
  <c r="A69" i="5"/>
  <c r="Q68" i="5"/>
  <c r="C68" i="5"/>
  <c r="A68" i="5"/>
  <c r="Q67" i="5"/>
  <c r="C67" i="5"/>
  <c r="A67" i="5"/>
  <c r="Q66" i="5"/>
  <c r="C66" i="5"/>
  <c r="A66" i="5"/>
  <c r="Q65" i="5"/>
  <c r="C65" i="5"/>
  <c r="A65" i="5"/>
  <c r="Q64" i="5"/>
  <c r="C64" i="5"/>
  <c r="A64" i="5"/>
  <c r="Q63" i="5"/>
  <c r="C63" i="5"/>
  <c r="A63" i="5"/>
  <c r="Q62" i="5"/>
  <c r="C62" i="5"/>
  <c r="A62" i="5"/>
  <c r="Q61" i="5"/>
  <c r="C61" i="5"/>
  <c r="A61" i="5"/>
  <c r="Q60" i="5"/>
  <c r="C60" i="5"/>
  <c r="A60" i="5"/>
  <c r="Q59" i="5"/>
  <c r="C59" i="5"/>
  <c r="A59" i="5"/>
  <c r="Q58" i="5"/>
  <c r="C58" i="5"/>
  <c r="A58" i="5"/>
  <c r="Q57" i="5"/>
  <c r="C57" i="5"/>
  <c r="A57" i="5"/>
  <c r="Q56" i="5"/>
  <c r="C56" i="5"/>
  <c r="A56" i="5"/>
  <c r="Q55" i="5"/>
  <c r="C55" i="5"/>
  <c r="A55" i="5"/>
  <c r="Q54" i="5"/>
  <c r="C54" i="5"/>
  <c r="A54" i="5"/>
  <c r="Q53" i="5"/>
  <c r="C53" i="5"/>
  <c r="A53" i="5"/>
  <c r="Q52" i="5"/>
  <c r="C52" i="5"/>
  <c r="A52" i="5"/>
  <c r="Q51" i="5"/>
  <c r="C51" i="5"/>
  <c r="A51" i="5"/>
  <c r="Q50" i="5"/>
  <c r="C50" i="5"/>
  <c r="A50" i="5"/>
  <c r="Q49" i="5"/>
  <c r="C49" i="5"/>
  <c r="A49" i="5"/>
  <c r="Q48" i="5"/>
  <c r="C48" i="5"/>
  <c r="A48" i="5"/>
  <c r="Q47" i="5"/>
  <c r="C47" i="5"/>
  <c r="A47" i="5"/>
  <c r="Q46" i="5"/>
  <c r="C46" i="5"/>
  <c r="A46" i="5"/>
  <c r="Q45" i="5"/>
  <c r="C45" i="5"/>
  <c r="A45" i="5"/>
  <c r="Q44" i="5"/>
  <c r="C44" i="5"/>
  <c r="A44" i="5"/>
  <c r="Q43" i="5"/>
  <c r="C43" i="5"/>
  <c r="A43" i="5"/>
  <c r="Q42" i="5"/>
  <c r="C42" i="5"/>
  <c r="A42" i="5"/>
  <c r="Q41" i="5"/>
  <c r="C41" i="5"/>
  <c r="A41" i="5"/>
  <c r="Q40" i="5"/>
  <c r="C40" i="5"/>
  <c r="A40" i="5"/>
  <c r="Q39" i="5"/>
  <c r="C39" i="5"/>
  <c r="A39" i="5"/>
  <c r="Q38" i="5"/>
  <c r="C38" i="5"/>
  <c r="A38" i="5"/>
  <c r="Q37" i="5"/>
  <c r="C37" i="5"/>
  <c r="A37" i="5"/>
  <c r="Q36" i="5"/>
  <c r="C36" i="5"/>
  <c r="A36" i="5"/>
  <c r="Q35" i="5"/>
  <c r="C35" i="5"/>
  <c r="A35" i="5"/>
  <c r="Q34" i="5"/>
  <c r="C34" i="5"/>
  <c r="A34" i="5"/>
  <c r="Q33" i="5"/>
  <c r="C33" i="5"/>
  <c r="A33" i="5"/>
  <c r="Q32" i="5"/>
  <c r="C32" i="5"/>
  <c r="A32" i="5"/>
  <c r="Q31" i="5"/>
  <c r="C31" i="5"/>
  <c r="A31" i="5"/>
  <c r="Q30" i="5"/>
  <c r="C30" i="5"/>
  <c r="A30" i="5"/>
  <c r="Q29" i="5"/>
  <c r="C29" i="5"/>
  <c r="A29" i="5"/>
  <c r="Q28" i="5"/>
  <c r="C28" i="5"/>
  <c r="A28" i="5"/>
  <c r="Q27" i="5"/>
  <c r="C27" i="5"/>
  <c r="A27" i="5"/>
  <c r="Q26" i="5"/>
  <c r="C26" i="5"/>
  <c r="A26" i="5"/>
  <c r="Q25" i="5"/>
  <c r="C25" i="5"/>
  <c r="A25" i="5"/>
  <c r="Q24" i="5"/>
  <c r="C24" i="5"/>
  <c r="A24" i="5"/>
  <c r="Q23" i="5"/>
  <c r="C23" i="5"/>
  <c r="A23" i="5"/>
  <c r="Q22" i="5"/>
  <c r="C22" i="5"/>
  <c r="A22" i="5"/>
  <c r="Q21" i="5"/>
  <c r="C21" i="5"/>
  <c r="A21" i="5"/>
  <c r="Q20" i="5"/>
  <c r="C20" i="5"/>
  <c r="A20" i="5"/>
  <c r="Q19" i="5"/>
  <c r="C19" i="5"/>
  <c r="A19" i="5"/>
  <c r="Q18" i="5"/>
  <c r="C18" i="5"/>
  <c r="A18" i="5"/>
  <c r="Q17" i="5"/>
  <c r="C17" i="5"/>
  <c r="A17" i="5"/>
  <c r="Q16" i="5"/>
  <c r="C16" i="5"/>
  <c r="A16" i="5"/>
  <c r="Q15" i="5"/>
  <c r="C15" i="5"/>
  <c r="A15" i="5"/>
  <c r="Q14" i="5"/>
  <c r="C14" i="5"/>
  <c r="A14" i="5"/>
  <c r="Q13" i="5"/>
  <c r="C13" i="5"/>
  <c r="A13" i="5"/>
  <c r="Q12" i="5"/>
  <c r="C12" i="5"/>
  <c r="A12" i="5"/>
  <c r="Q11" i="5"/>
  <c r="C11" i="5"/>
  <c r="A11" i="5"/>
  <c r="Q10" i="5"/>
  <c r="C10" i="5"/>
  <c r="A10" i="5"/>
  <c r="Q9" i="5"/>
  <c r="C9" i="5"/>
  <c r="A9" i="5"/>
  <c r="Q8" i="5"/>
  <c r="C8" i="5"/>
  <c r="A8" i="5"/>
  <c r="Q7" i="5"/>
  <c r="C7" i="5"/>
  <c r="A7" i="5"/>
  <c r="Q6" i="5"/>
  <c r="Q5" i="5"/>
  <c r="D144" i="3"/>
  <c r="C144" i="3"/>
  <c r="B144" i="3"/>
  <c r="A144" i="3"/>
  <c r="D143" i="3"/>
  <c r="C143" i="3"/>
  <c r="B143" i="3"/>
  <c r="A143" i="3"/>
  <c r="D142" i="3"/>
  <c r="C142" i="3"/>
  <c r="B142" i="3"/>
  <c r="A142" i="3"/>
  <c r="C141" i="3"/>
  <c r="B141" i="3"/>
  <c r="A141" i="3"/>
  <c r="D140" i="3"/>
  <c r="C140" i="3"/>
  <c r="B140" i="3"/>
  <c r="A140" i="3"/>
  <c r="D139" i="3"/>
  <c r="C139" i="3"/>
  <c r="B139" i="3"/>
  <c r="A139" i="3"/>
  <c r="D138" i="3"/>
  <c r="C138" i="3"/>
  <c r="B138" i="3"/>
  <c r="A138" i="3"/>
  <c r="D137" i="3"/>
  <c r="C137" i="3"/>
  <c r="B137" i="3"/>
  <c r="A137" i="3"/>
  <c r="C136" i="3"/>
  <c r="B136" i="3"/>
  <c r="A136" i="3"/>
  <c r="D135" i="3"/>
  <c r="C135" i="3"/>
  <c r="B135" i="3"/>
  <c r="A135" i="3"/>
  <c r="C134" i="3"/>
  <c r="B134" i="3"/>
  <c r="A134" i="3"/>
  <c r="D133" i="3"/>
  <c r="C133" i="3"/>
  <c r="B133" i="3"/>
  <c r="A133" i="3"/>
  <c r="D132" i="3"/>
  <c r="C132" i="3"/>
  <c r="B132" i="3"/>
  <c r="A132" i="3"/>
  <c r="D131" i="3"/>
  <c r="C131" i="3"/>
  <c r="B131" i="3"/>
  <c r="A131" i="3"/>
  <c r="D130" i="3"/>
  <c r="C130" i="3"/>
  <c r="B130" i="3"/>
  <c r="A130" i="3"/>
  <c r="C129" i="3"/>
  <c r="B129" i="3"/>
  <c r="A129" i="3"/>
  <c r="C128" i="3"/>
  <c r="B128" i="3"/>
  <c r="A128" i="3"/>
  <c r="D127" i="3"/>
  <c r="C127" i="3"/>
  <c r="B127" i="3"/>
  <c r="A127" i="3"/>
  <c r="D126" i="3"/>
  <c r="C126" i="3"/>
  <c r="B126" i="3"/>
  <c r="A126" i="3"/>
  <c r="C125" i="3"/>
  <c r="B125" i="3"/>
  <c r="A125" i="3"/>
  <c r="D124" i="3"/>
  <c r="C124" i="3"/>
  <c r="B124" i="3"/>
  <c r="A124" i="3"/>
  <c r="R123" i="3"/>
  <c r="N123" i="3"/>
  <c r="D123" i="3"/>
  <c r="C123" i="3"/>
  <c r="B123" i="3"/>
  <c r="A123" i="3"/>
  <c r="C122" i="3"/>
  <c r="B122" i="3"/>
  <c r="A122" i="3"/>
  <c r="D121" i="3"/>
  <c r="C121" i="3"/>
  <c r="B121" i="3"/>
  <c r="A121" i="3"/>
  <c r="D120" i="3"/>
  <c r="C120" i="3"/>
  <c r="B120" i="3"/>
  <c r="A120" i="3"/>
  <c r="D119" i="3"/>
  <c r="C119" i="3"/>
  <c r="B119" i="3"/>
  <c r="A119" i="3"/>
  <c r="D118" i="3"/>
  <c r="C118" i="3"/>
  <c r="B118" i="3"/>
  <c r="A118" i="3"/>
  <c r="C117" i="3"/>
  <c r="B117" i="3"/>
  <c r="A117" i="3"/>
  <c r="D116" i="3"/>
  <c r="C116" i="3"/>
  <c r="B116" i="3"/>
  <c r="A116" i="3"/>
  <c r="D115" i="3"/>
  <c r="C115" i="3"/>
  <c r="B115" i="3"/>
  <c r="A115" i="3"/>
  <c r="D114" i="3"/>
  <c r="C114" i="3"/>
  <c r="B114" i="3"/>
  <c r="A114" i="3"/>
  <c r="D113" i="3"/>
  <c r="C113" i="3"/>
  <c r="B113" i="3"/>
  <c r="A113" i="3"/>
  <c r="D112" i="3"/>
  <c r="C112" i="3"/>
  <c r="B112" i="3"/>
  <c r="A112" i="3"/>
  <c r="T111" i="3"/>
  <c r="R111" i="3"/>
  <c r="G111" i="3"/>
  <c r="D111" i="3"/>
  <c r="C111" i="3"/>
  <c r="B111" i="3"/>
  <c r="A111" i="3"/>
  <c r="C110" i="3"/>
  <c r="B110" i="3"/>
  <c r="A110" i="3"/>
  <c r="D109" i="3"/>
  <c r="C109" i="3"/>
  <c r="B109" i="3"/>
  <c r="A109" i="3"/>
  <c r="D108" i="3"/>
  <c r="C108" i="3"/>
  <c r="B108" i="3"/>
  <c r="A108" i="3"/>
  <c r="D107" i="3"/>
  <c r="C107" i="3"/>
  <c r="B107" i="3"/>
  <c r="A107" i="3"/>
  <c r="D106" i="3"/>
  <c r="C106" i="3"/>
  <c r="B106" i="3"/>
  <c r="A106" i="3"/>
  <c r="C105" i="3"/>
  <c r="B105" i="3"/>
  <c r="A105" i="3"/>
  <c r="C104" i="3"/>
  <c r="B104" i="3"/>
  <c r="A104" i="3"/>
  <c r="D103" i="3"/>
  <c r="C103" i="3"/>
  <c r="B103" i="3"/>
  <c r="A103" i="3"/>
  <c r="C102" i="3"/>
  <c r="B102" i="3"/>
  <c r="A102" i="3"/>
  <c r="D101" i="3"/>
  <c r="C101" i="3"/>
  <c r="B101" i="3"/>
  <c r="A101" i="3"/>
  <c r="D100" i="3"/>
  <c r="C100" i="3"/>
  <c r="B100" i="3"/>
  <c r="A100" i="3"/>
  <c r="D99" i="3"/>
  <c r="C99" i="3"/>
  <c r="B99" i="3"/>
  <c r="A99" i="3"/>
  <c r="C98" i="3"/>
  <c r="B98" i="3"/>
  <c r="A98" i="3"/>
  <c r="D97" i="3"/>
  <c r="C97" i="3"/>
  <c r="B97" i="3"/>
  <c r="A97" i="3"/>
  <c r="C96" i="3"/>
  <c r="B96" i="3"/>
  <c r="A96" i="3"/>
  <c r="C95" i="3"/>
  <c r="B95" i="3"/>
  <c r="A95" i="3"/>
  <c r="D94" i="3"/>
  <c r="C94" i="3"/>
  <c r="B94" i="3"/>
  <c r="A94" i="3"/>
  <c r="D93" i="3"/>
  <c r="C93" i="3"/>
  <c r="B93" i="3"/>
  <c r="A93" i="3"/>
  <c r="D92" i="3"/>
  <c r="C92" i="3"/>
  <c r="B92" i="3"/>
  <c r="A92" i="3"/>
  <c r="C91" i="3"/>
  <c r="B91" i="3"/>
  <c r="A91" i="3"/>
  <c r="D90" i="3"/>
  <c r="C90" i="3"/>
  <c r="B90" i="3"/>
  <c r="A90" i="3"/>
  <c r="D89" i="3"/>
  <c r="C89" i="3"/>
  <c r="B89" i="3"/>
  <c r="A89" i="3"/>
  <c r="K88" i="3"/>
  <c r="H88" i="3"/>
  <c r="D88" i="3"/>
  <c r="C88" i="3"/>
  <c r="B88" i="3"/>
  <c r="A88" i="3"/>
  <c r="D87" i="3"/>
  <c r="C87" i="3"/>
  <c r="B87" i="3"/>
  <c r="A87" i="3"/>
  <c r="C86" i="3"/>
  <c r="B86" i="3"/>
  <c r="A86" i="3"/>
  <c r="D85" i="3"/>
  <c r="C85" i="3"/>
  <c r="B85" i="3"/>
  <c r="A85" i="3"/>
  <c r="D84" i="3"/>
  <c r="C84" i="3"/>
  <c r="B84" i="3"/>
  <c r="A84" i="3"/>
  <c r="C83" i="3"/>
  <c r="B83" i="3"/>
  <c r="A83" i="3"/>
  <c r="D82" i="3"/>
  <c r="C82" i="3"/>
  <c r="B82" i="3"/>
  <c r="A82" i="3"/>
  <c r="D81" i="3"/>
  <c r="C81" i="3"/>
  <c r="B81" i="3"/>
  <c r="A81" i="3"/>
  <c r="C80" i="3"/>
  <c r="B80" i="3"/>
  <c r="A80" i="3"/>
  <c r="D79" i="3"/>
  <c r="C79" i="3"/>
  <c r="B79" i="3"/>
  <c r="A79" i="3"/>
  <c r="D78" i="3"/>
  <c r="C78" i="3"/>
  <c r="B78" i="3"/>
  <c r="A78" i="3"/>
  <c r="D77" i="3"/>
  <c r="C77" i="3"/>
  <c r="B77" i="3"/>
  <c r="A77" i="3"/>
  <c r="C76" i="3"/>
  <c r="B76" i="3"/>
  <c r="A76" i="3"/>
  <c r="S75" i="3"/>
  <c r="K75" i="3"/>
  <c r="D75" i="3"/>
  <c r="C75" i="3"/>
  <c r="B75" i="3"/>
  <c r="A75" i="3"/>
  <c r="D74" i="3"/>
  <c r="C74" i="3"/>
  <c r="B74" i="3"/>
  <c r="A74" i="3"/>
  <c r="V73" i="3"/>
  <c r="U73" i="3"/>
  <c r="T73" i="3"/>
  <c r="D73" i="3"/>
  <c r="C73" i="3"/>
  <c r="B73" i="3"/>
  <c r="A73" i="3"/>
  <c r="C72" i="3"/>
  <c r="B72" i="3"/>
  <c r="A72" i="3"/>
  <c r="C71" i="3"/>
  <c r="B71" i="3"/>
  <c r="A71" i="3"/>
  <c r="D70" i="3"/>
  <c r="C70" i="3"/>
  <c r="B70" i="3"/>
  <c r="A70" i="3"/>
  <c r="C69" i="3"/>
  <c r="B69" i="3"/>
  <c r="A69" i="3"/>
  <c r="D68" i="3"/>
  <c r="C68" i="3"/>
  <c r="B68" i="3"/>
  <c r="A68" i="3"/>
  <c r="D67" i="3"/>
  <c r="C67" i="3"/>
  <c r="B67" i="3"/>
  <c r="A67" i="3"/>
  <c r="C66" i="3"/>
  <c r="B66" i="3"/>
  <c r="A66" i="3"/>
  <c r="D65" i="3"/>
  <c r="C65" i="3"/>
  <c r="B65" i="3"/>
  <c r="A65" i="3"/>
  <c r="D64" i="3"/>
  <c r="C64" i="3"/>
  <c r="B64" i="3"/>
  <c r="A64" i="3"/>
  <c r="C63" i="3"/>
  <c r="B63" i="3"/>
  <c r="A63" i="3"/>
  <c r="D62" i="3"/>
  <c r="C62" i="3"/>
  <c r="B62" i="3"/>
  <c r="A62" i="3"/>
  <c r="D61" i="3"/>
  <c r="C61" i="3"/>
  <c r="B61" i="3"/>
  <c r="A61" i="3"/>
  <c r="C60" i="3"/>
  <c r="B60" i="3"/>
  <c r="A60" i="3"/>
  <c r="H59" i="3"/>
  <c r="F59" i="3"/>
  <c r="D59" i="3"/>
  <c r="C59" i="3"/>
  <c r="B59" i="3"/>
  <c r="A59" i="3"/>
  <c r="D58" i="3"/>
  <c r="C58" i="3"/>
  <c r="B58" i="3"/>
  <c r="A58" i="3"/>
  <c r="C57" i="3"/>
  <c r="B57" i="3"/>
  <c r="A57" i="3"/>
  <c r="C56" i="3"/>
  <c r="B56" i="3"/>
  <c r="A56" i="3"/>
  <c r="D55" i="3"/>
  <c r="C55" i="3"/>
  <c r="B55" i="3"/>
  <c r="A55" i="3"/>
  <c r="D54" i="3"/>
  <c r="C54" i="3"/>
  <c r="B54" i="3"/>
  <c r="A54" i="3"/>
  <c r="D53" i="3"/>
  <c r="C53" i="3"/>
  <c r="B53" i="3"/>
  <c r="A53" i="3"/>
  <c r="C52" i="3"/>
  <c r="B52" i="3"/>
  <c r="A52" i="3"/>
  <c r="D51" i="3"/>
  <c r="C51" i="3"/>
  <c r="B51" i="3"/>
  <c r="A51" i="3"/>
  <c r="D50" i="3"/>
  <c r="C50" i="3"/>
  <c r="B50" i="3"/>
  <c r="A50" i="3"/>
  <c r="D49" i="3"/>
  <c r="C49" i="3"/>
  <c r="B49" i="3"/>
  <c r="A49" i="3"/>
  <c r="C48" i="3"/>
  <c r="B48" i="3"/>
  <c r="A48" i="3"/>
  <c r="D47" i="3"/>
  <c r="C47" i="3"/>
  <c r="B47" i="3"/>
  <c r="A47" i="3"/>
  <c r="C46" i="3"/>
  <c r="B46" i="3"/>
  <c r="A46" i="3"/>
  <c r="U45" i="3"/>
  <c r="T45" i="3"/>
  <c r="R45" i="3"/>
  <c r="D45" i="3"/>
  <c r="C45" i="3"/>
  <c r="B45" i="3"/>
  <c r="A45" i="3"/>
  <c r="D44" i="3"/>
  <c r="C44" i="3"/>
  <c r="B44" i="3"/>
  <c r="A44" i="3"/>
  <c r="D43" i="3"/>
  <c r="C43" i="3"/>
  <c r="B43" i="3"/>
  <c r="A43" i="3"/>
  <c r="C42" i="3"/>
  <c r="B42" i="3"/>
  <c r="A42" i="3"/>
  <c r="C41" i="3"/>
  <c r="B41" i="3"/>
  <c r="A41" i="3"/>
  <c r="D40" i="3"/>
  <c r="C40" i="3"/>
  <c r="B40" i="3"/>
  <c r="A40" i="3"/>
  <c r="D39" i="3"/>
  <c r="C39" i="3"/>
  <c r="B39" i="3"/>
  <c r="A39" i="3"/>
  <c r="C38" i="3"/>
  <c r="B38" i="3"/>
  <c r="A38" i="3"/>
  <c r="D37" i="3"/>
  <c r="C37" i="3"/>
  <c r="B37" i="3"/>
  <c r="A37" i="3"/>
  <c r="D36" i="3"/>
  <c r="C36" i="3"/>
  <c r="B36" i="3"/>
  <c r="A36" i="3"/>
  <c r="D35" i="3"/>
  <c r="C35" i="3"/>
  <c r="B35" i="3"/>
  <c r="A35" i="3"/>
  <c r="C34" i="3"/>
  <c r="B34" i="3"/>
  <c r="A34" i="3"/>
  <c r="D33" i="3"/>
  <c r="C33" i="3"/>
  <c r="B33" i="3"/>
  <c r="A33" i="3"/>
  <c r="D32" i="3"/>
  <c r="C32" i="3"/>
  <c r="B32" i="3"/>
  <c r="A32" i="3"/>
  <c r="C31" i="3"/>
  <c r="B31" i="3"/>
  <c r="A31" i="3"/>
  <c r="D30" i="3"/>
  <c r="C30" i="3"/>
  <c r="B30" i="3"/>
  <c r="A30" i="3"/>
  <c r="D29" i="3"/>
  <c r="C29" i="3"/>
  <c r="B29" i="3"/>
  <c r="A29" i="3"/>
  <c r="C28" i="3"/>
  <c r="B28" i="3"/>
  <c r="A28" i="3"/>
  <c r="C27" i="3"/>
  <c r="B27" i="3"/>
  <c r="A27" i="3"/>
  <c r="D26" i="3"/>
  <c r="C26" i="3"/>
  <c r="B26" i="3"/>
  <c r="A26" i="3"/>
  <c r="D25" i="3"/>
  <c r="C25" i="3"/>
  <c r="B25" i="3"/>
  <c r="A25" i="3"/>
  <c r="D24" i="3"/>
  <c r="C24" i="3"/>
  <c r="B24" i="3"/>
  <c r="A24" i="3"/>
  <c r="C23" i="3"/>
  <c r="B23" i="3"/>
  <c r="A23" i="3"/>
  <c r="R22" i="3"/>
  <c r="P22" i="3"/>
  <c r="D22" i="3"/>
  <c r="C22" i="3"/>
  <c r="B22" i="3"/>
  <c r="A22" i="3"/>
  <c r="D21" i="3"/>
  <c r="C21" i="3"/>
  <c r="B21" i="3"/>
  <c r="A21" i="3"/>
  <c r="C20" i="3"/>
  <c r="B20" i="3"/>
  <c r="A20" i="3"/>
  <c r="D19" i="3"/>
  <c r="C19" i="3"/>
  <c r="B19" i="3"/>
  <c r="A19" i="3"/>
  <c r="D18" i="3"/>
  <c r="C18" i="3"/>
  <c r="B18" i="3"/>
  <c r="A18" i="3"/>
  <c r="D17" i="3"/>
  <c r="C17" i="3"/>
  <c r="B17" i="3"/>
  <c r="A17" i="3"/>
  <c r="N16" i="3"/>
  <c r="L16" i="3"/>
  <c r="K16" i="3"/>
  <c r="J16" i="3"/>
  <c r="F16" i="3"/>
  <c r="D16" i="3"/>
  <c r="C16" i="3"/>
  <c r="B16" i="3"/>
  <c r="A16" i="3"/>
  <c r="C15" i="3"/>
  <c r="B15" i="3"/>
  <c r="A15" i="3"/>
  <c r="O14" i="3"/>
  <c r="D14" i="3"/>
  <c r="C14" i="3"/>
  <c r="B14" i="3"/>
  <c r="A14" i="3"/>
  <c r="D13" i="3"/>
  <c r="C13" i="3"/>
  <c r="B13" i="3"/>
  <c r="A13" i="3"/>
  <c r="V12" i="3"/>
  <c r="U12" i="3"/>
  <c r="T12" i="3"/>
  <c r="S12" i="3"/>
  <c r="R12" i="3"/>
  <c r="D12" i="3"/>
  <c r="C12" i="3"/>
  <c r="B12" i="3"/>
  <c r="A12" i="3"/>
  <c r="D11" i="3"/>
  <c r="C11" i="3"/>
  <c r="B11" i="3"/>
  <c r="A11" i="3"/>
  <c r="C10" i="3"/>
  <c r="B10" i="3"/>
  <c r="A10" i="3"/>
  <c r="D9" i="3"/>
  <c r="C9" i="3"/>
  <c r="B9" i="3"/>
  <c r="A9" i="3"/>
  <c r="F8" i="3"/>
  <c r="D8" i="3"/>
  <c r="C8" i="3"/>
  <c r="B8" i="3"/>
  <c r="A8" i="3"/>
  <c r="D7" i="3"/>
  <c r="C7" i="3"/>
  <c r="B7" i="3"/>
  <c r="A7" i="3"/>
  <c r="C6" i="3"/>
  <c r="B6" i="3"/>
  <c r="A6" i="3"/>
  <c r="C5" i="3"/>
  <c r="B5" i="3"/>
  <c r="A5" i="3"/>
  <c r="Z3" i="3"/>
  <c r="Y3" i="3"/>
  <c r="X3" i="3"/>
  <c r="W3" i="3"/>
  <c r="V3" i="3"/>
  <c r="U3" i="3"/>
  <c r="T3" i="3"/>
  <c r="S3" i="3"/>
  <c r="R3" i="3"/>
  <c r="Q3" i="3"/>
  <c r="P3" i="3"/>
  <c r="O3" i="3"/>
  <c r="N3" i="3"/>
  <c r="M3" i="3"/>
  <c r="L3" i="3"/>
  <c r="K3" i="3"/>
  <c r="J3" i="3"/>
  <c r="I3" i="3"/>
  <c r="H3" i="3"/>
  <c r="G3" i="3"/>
  <c r="F3" i="3"/>
  <c r="X144" i="2"/>
  <c r="W144" i="2"/>
  <c r="U144" i="2"/>
  <c r="T144" i="2"/>
  <c r="Y144" i="2" s="1"/>
  <c r="M144" i="2"/>
  <c r="E144" i="3" s="1"/>
  <c r="H144" i="2"/>
  <c r="G144" i="2"/>
  <c r="X143" i="2"/>
  <c r="W143" i="2"/>
  <c r="U143" i="2"/>
  <c r="T143" i="2"/>
  <c r="H143" i="2" s="1"/>
  <c r="M143" i="2"/>
  <c r="G143" i="2"/>
  <c r="X142" i="2"/>
  <c r="W142" i="2"/>
  <c r="U142" i="2"/>
  <c r="T142" i="2"/>
  <c r="H142" i="2" s="1"/>
  <c r="M142" i="2"/>
  <c r="E142" i="3" s="1"/>
  <c r="G142" i="2"/>
  <c r="X140" i="2"/>
  <c r="W140" i="2"/>
  <c r="U140" i="2"/>
  <c r="T140" i="2"/>
  <c r="M140" i="2"/>
  <c r="E140" i="3" s="1"/>
  <c r="G140" i="2"/>
  <c r="X139" i="2"/>
  <c r="W139" i="2"/>
  <c r="V139" i="2"/>
  <c r="U139" i="2"/>
  <c r="T139" i="2"/>
  <c r="H139" i="2" s="1"/>
  <c r="M139" i="2"/>
  <c r="E139" i="3" s="1"/>
  <c r="G139" i="2"/>
  <c r="X138" i="2"/>
  <c r="W138" i="2"/>
  <c r="U138" i="2"/>
  <c r="T138" i="2"/>
  <c r="M138" i="2"/>
  <c r="H138" i="2"/>
  <c r="G138" i="2"/>
  <c r="X137" i="2"/>
  <c r="W137" i="2"/>
  <c r="U137" i="2"/>
  <c r="T137" i="2"/>
  <c r="H137" i="2" s="1"/>
  <c r="M137" i="2"/>
  <c r="E137" i="3" s="1"/>
  <c r="G137" i="2"/>
  <c r="F136" i="2"/>
  <c r="G136" i="2" s="1"/>
  <c r="Y135" i="2"/>
  <c r="T134" i="2" s="1"/>
  <c r="X135" i="2"/>
  <c r="W135" i="2"/>
  <c r="K134" i="2" s="1"/>
  <c r="U135" i="2"/>
  <c r="T135" i="2"/>
  <c r="H135" i="2" s="1"/>
  <c r="M135" i="2"/>
  <c r="E135" i="3" s="1"/>
  <c r="G135" i="2"/>
  <c r="J134" i="2"/>
  <c r="D134" i="3" s="1"/>
  <c r="F134" i="2"/>
  <c r="X133" i="2"/>
  <c r="W133" i="2"/>
  <c r="U133" i="2"/>
  <c r="J129" i="2" s="1"/>
  <c r="D129" i="3" s="1"/>
  <c r="T133" i="2"/>
  <c r="M133" i="2"/>
  <c r="E133" i="3" s="1"/>
  <c r="G133" i="2"/>
  <c r="X132" i="2"/>
  <c r="W132" i="2"/>
  <c r="V132" i="2"/>
  <c r="U132" i="2"/>
  <c r="T132" i="2"/>
  <c r="H132" i="2" s="1"/>
  <c r="M132" i="2"/>
  <c r="E132" i="3" s="1"/>
  <c r="G132" i="2"/>
  <c r="X131" i="2"/>
  <c r="W131" i="2"/>
  <c r="U131" i="2"/>
  <c r="T131" i="2"/>
  <c r="H131" i="2" s="1"/>
  <c r="M131" i="2"/>
  <c r="E131" i="3" s="1"/>
  <c r="G131" i="2"/>
  <c r="X130" i="2"/>
  <c r="W130" i="2"/>
  <c r="U130" i="2"/>
  <c r="T130" i="2"/>
  <c r="H130" i="2" s="1"/>
  <c r="M130" i="2"/>
  <c r="E130" i="3" s="1"/>
  <c r="G130" i="2"/>
  <c r="F129" i="2"/>
  <c r="G129" i="2" s="1"/>
  <c r="Y127" i="2"/>
  <c r="X127" i="2"/>
  <c r="W127" i="2"/>
  <c r="U127" i="2"/>
  <c r="T127" i="2"/>
  <c r="M127" i="2"/>
  <c r="E127" i="3" s="1"/>
  <c r="H127" i="2"/>
  <c r="G127" i="2"/>
  <c r="X126" i="2"/>
  <c r="F125" i="2" s="1"/>
  <c r="G75" i="1" s="1"/>
  <c r="W126" i="2"/>
  <c r="K125" i="2" s="1"/>
  <c r="U126" i="2"/>
  <c r="J125" i="2" s="1"/>
  <c r="D125" i="3" s="1"/>
  <c r="T126" i="2"/>
  <c r="Y126" i="2" s="1"/>
  <c r="T125" i="2" s="1"/>
  <c r="M126" i="2"/>
  <c r="E126" i="3" s="1"/>
  <c r="G126" i="2"/>
  <c r="X124" i="2"/>
  <c r="F122" i="2" s="1"/>
  <c r="W124" i="2"/>
  <c r="K122" i="2" s="1"/>
  <c r="V124" i="2"/>
  <c r="U124" i="2"/>
  <c r="J122" i="2" s="1"/>
  <c r="D122" i="3" s="1"/>
  <c r="T124" i="2"/>
  <c r="H124" i="2" s="1"/>
  <c r="M124" i="2"/>
  <c r="E124" i="3" s="1"/>
  <c r="G124" i="2"/>
  <c r="X123" i="2"/>
  <c r="W123" i="2"/>
  <c r="U123" i="2"/>
  <c r="T123" i="2"/>
  <c r="H123" i="2" s="1"/>
  <c r="M123" i="2"/>
  <c r="E123" i="3" s="1"/>
  <c r="G123" i="2"/>
  <c r="X121" i="2"/>
  <c r="W121" i="2"/>
  <c r="U121" i="2"/>
  <c r="T121" i="2"/>
  <c r="Y121" i="2" s="1"/>
  <c r="M121" i="2"/>
  <c r="E121" i="3" s="1"/>
  <c r="H121" i="2"/>
  <c r="G121" i="2"/>
  <c r="X120" i="2"/>
  <c r="W120" i="2"/>
  <c r="U120" i="2"/>
  <c r="T120" i="2"/>
  <c r="H120" i="2" s="1"/>
  <c r="M120" i="2"/>
  <c r="G120" i="2"/>
  <c r="X119" i="2"/>
  <c r="W119" i="2"/>
  <c r="U119" i="2"/>
  <c r="T119" i="2"/>
  <c r="H119" i="2" s="1"/>
  <c r="M119" i="2"/>
  <c r="E119" i="3" s="1"/>
  <c r="G119" i="2"/>
  <c r="X118" i="2"/>
  <c r="W118" i="2"/>
  <c r="U118" i="2"/>
  <c r="J117" i="2" s="1"/>
  <c r="D117" i="3" s="1"/>
  <c r="T118" i="2"/>
  <c r="P118" i="3" s="1"/>
  <c r="M118" i="2"/>
  <c r="E118" i="3" s="1"/>
  <c r="H118" i="2"/>
  <c r="G118" i="2"/>
  <c r="X116" i="2"/>
  <c r="W116" i="2"/>
  <c r="U116" i="2"/>
  <c r="T116" i="2"/>
  <c r="H116" i="2" s="1"/>
  <c r="M116" i="2"/>
  <c r="E116" i="3" s="1"/>
  <c r="G116" i="2"/>
  <c r="X115" i="2"/>
  <c r="W115" i="2"/>
  <c r="U115" i="2"/>
  <c r="T115" i="2"/>
  <c r="H115" i="2" s="1"/>
  <c r="M115" i="2"/>
  <c r="V115" i="2" s="1"/>
  <c r="G115" i="2"/>
  <c r="X114" i="2"/>
  <c r="W114" i="2"/>
  <c r="U114" i="2"/>
  <c r="T114" i="2"/>
  <c r="Y114" i="2" s="1"/>
  <c r="M114" i="2"/>
  <c r="E114" i="3" s="1"/>
  <c r="G114" i="2"/>
  <c r="X113" i="2"/>
  <c r="W113" i="2"/>
  <c r="U113" i="2"/>
  <c r="T113" i="2"/>
  <c r="Y113" i="2" s="1"/>
  <c r="M113" i="2"/>
  <c r="H113" i="2"/>
  <c r="G113" i="2"/>
  <c r="X112" i="2"/>
  <c r="W112" i="2"/>
  <c r="U112" i="2"/>
  <c r="T112" i="2"/>
  <c r="Y112" i="2" s="1"/>
  <c r="M112" i="2"/>
  <c r="E112" i="3" s="1"/>
  <c r="H112" i="2"/>
  <c r="G112" i="2"/>
  <c r="X111" i="2"/>
  <c r="F110" i="2" s="1"/>
  <c r="W111" i="2"/>
  <c r="U111" i="2"/>
  <c r="T111" i="2"/>
  <c r="H111" i="2" s="1"/>
  <c r="M111" i="2"/>
  <c r="G111" i="2"/>
  <c r="X109" i="2"/>
  <c r="W109" i="2"/>
  <c r="U109" i="2"/>
  <c r="T109" i="2"/>
  <c r="J109" i="3" s="1"/>
  <c r="M109" i="2"/>
  <c r="E109" i="3" s="1"/>
  <c r="H109" i="2"/>
  <c r="G109" i="2"/>
  <c r="X108" i="2"/>
  <c r="W108" i="2"/>
  <c r="U108" i="2"/>
  <c r="T108" i="2"/>
  <c r="M108" i="2"/>
  <c r="E108" i="3" s="1"/>
  <c r="G108" i="2"/>
  <c r="X107" i="2"/>
  <c r="F105" i="2" s="1"/>
  <c r="W107" i="2"/>
  <c r="V107" i="2"/>
  <c r="U107" i="2"/>
  <c r="T107" i="2"/>
  <c r="H107" i="2" s="1"/>
  <c r="M107" i="2"/>
  <c r="E107" i="3" s="1"/>
  <c r="G107" i="2"/>
  <c r="X106" i="2"/>
  <c r="W106" i="2"/>
  <c r="U106" i="2"/>
  <c r="T106" i="2"/>
  <c r="M106" i="2"/>
  <c r="H106" i="2"/>
  <c r="G106" i="2"/>
  <c r="X103" i="2"/>
  <c r="F102" i="2" s="1"/>
  <c r="W103" i="2"/>
  <c r="K102" i="2" s="1"/>
  <c r="U103" i="2"/>
  <c r="J102" i="2" s="1"/>
  <c r="D102" i="3" s="1"/>
  <c r="T103" i="2"/>
  <c r="H103" i="3" s="1"/>
  <c r="M103" i="2"/>
  <c r="E103" i="3" s="1"/>
  <c r="G103" i="2"/>
  <c r="X101" i="2"/>
  <c r="W101" i="2"/>
  <c r="U101" i="2"/>
  <c r="T101" i="2"/>
  <c r="K101" i="3" s="1"/>
  <c r="M101" i="2"/>
  <c r="E101" i="3" s="1"/>
  <c r="G101" i="2"/>
  <c r="X100" i="2"/>
  <c r="W100" i="2"/>
  <c r="U100" i="2"/>
  <c r="T100" i="2"/>
  <c r="M100" i="2"/>
  <c r="E100" i="3" s="1"/>
  <c r="G100" i="2"/>
  <c r="Y99" i="2"/>
  <c r="X99" i="2"/>
  <c r="F98" i="2" s="1"/>
  <c r="W99" i="2"/>
  <c r="K98" i="2" s="1"/>
  <c r="U99" i="2"/>
  <c r="T99" i="2"/>
  <c r="H99" i="2" s="1"/>
  <c r="M99" i="2"/>
  <c r="G99" i="2"/>
  <c r="X97" i="2"/>
  <c r="F96" i="2" s="1"/>
  <c r="W97" i="2"/>
  <c r="U97" i="2"/>
  <c r="T97" i="2"/>
  <c r="M97" i="2"/>
  <c r="E97" i="3" s="1"/>
  <c r="H97" i="2"/>
  <c r="G97" i="2"/>
  <c r="K96" i="2"/>
  <c r="X94" i="2"/>
  <c r="W94" i="2"/>
  <c r="U94" i="2"/>
  <c r="T94" i="2"/>
  <c r="Y94" i="2" s="1"/>
  <c r="M94" i="2"/>
  <c r="E94" i="3" s="1"/>
  <c r="G94" i="2"/>
  <c r="X93" i="2"/>
  <c r="W93" i="2"/>
  <c r="U93" i="2"/>
  <c r="T93" i="2"/>
  <c r="M93" i="2"/>
  <c r="E93" i="3" s="1"/>
  <c r="G93" i="2"/>
  <c r="X92" i="2"/>
  <c r="W92" i="2"/>
  <c r="U92" i="2"/>
  <c r="T92" i="2"/>
  <c r="H92" i="2" s="1"/>
  <c r="M92" i="2"/>
  <c r="G92" i="2"/>
  <c r="X90" i="2"/>
  <c r="W90" i="2"/>
  <c r="U90" i="2"/>
  <c r="T90" i="2"/>
  <c r="H90" i="2" s="1"/>
  <c r="M90" i="2"/>
  <c r="E90" i="3" s="1"/>
  <c r="G90" i="2"/>
  <c r="X89" i="2"/>
  <c r="W89" i="2"/>
  <c r="U89" i="2"/>
  <c r="T89" i="2"/>
  <c r="X89" i="3" s="1"/>
  <c r="M89" i="2"/>
  <c r="E89" i="3" s="1"/>
  <c r="H89" i="2"/>
  <c r="G89" i="2"/>
  <c r="X88" i="2"/>
  <c r="W88" i="2"/>
  <c r="U88" i="2"/>
  <c r="T88" i="2"/>
  <c r="I88" i="3" s="1"/>
  <c r="M88" i="2"/>
  <c r="H88" i="2"/>
  <c r="G88" i="2"/>
  <c r="Y87" i="2"/>
  <c r="X87" i="2"/>
  <c r="F86" i="2" s="1"/>
  <c r="W87" i="2"/>
  <c r="K86" i="2" s="1"/>
  <c r="V87" i="2"/>
  <c r="U87" i="2"/>
  <c r="T87" i="2"/>
  <c r="M87" i="2"/>
  <c r="E87" i="3" s="1"/>
  <c r="G87" i="2"/>
  <c r="X85" i="2"/>
  <c r="W85" i="2"/>
  <c r="U85" i="2"/>
  <c r="T85" i="2"/>
  <c r="Y85" i="2" s="1"/>
  <c r="M85" i="2"/>
  <c r="E85" i="3" s="1"/>
  <c r="H85" i="2"/>
  <c r="G85" i="2"/>
  <c r="X84" i="2"/>
  <c r="W84" i="2"/>
  <c r="U84" i="2"/>
  <c r="J83" i="2" s="1"/>
  <c r="D83" i="3" s="1"/>
  <c r="T84" i="2"/>
  <c r="M84" i="2"/>
  <c r="G84" i="2"/>
  <c r="K83" i="2"/>
  <c r="X82" i="2"/>
  <c r="W82" i="2"/>
  <c r="U82" i="2"/>
  <c r="T82" i="2"/>
  <c r="Y82" i="2" s="1"/>
  <c r="M82" i="2"/>
  <c r="E82" i="3" s="1"/>
  <c r="H82" i="2"/>
  <c r="G82" i="2"/>
  <c r="X81" i="2"/>
  <c r="F80" i="2" s="1"/>
  <c r="W81" i="2"/>
  <c r="U81" i="2"/>
  <c r="T81" i="2"/>
  <c r="M81" i="2"/>
  <c r="V81" i="2" s="1"/>
  <c r="G81" i="2"/>
  <c r="K80" i="2"/>
  <c r="Y79" i="2"/>
  <c r="X79" i="2"/>
  <c r="W79" i="2"/>
  <c r="V79" i="2"/>
  <c r="U79" i="2"/>
  <c r="T79" i="2"/>
  <c r="H79" i="2" s="1"/>
  <c r="M79" i="2"/>
  <c r="E79" i="3" s="1"/>
  <c r="G79" i="2"/>
  <c r="X78" i="2"/>
  <c r="W78" i="2"/>
  <c r="U78" i="2"/>
  <c r="T78" i="2"/>
  <c r="Y78" i="2" s="1"/>
  <c r="M78" i="2"/>
  <c r="E78" i="3" s="1"/>
  <c r="G78" i="2"/>
  <c r="X77" i="2"/>
  <c r="F76" i="2" s="1"/>
  <c r="W77" i="2"/>
  <c r="U77" i="2"/>
  <c r="T77" i="2"/>
  <c r="M77" i="2"/>
  <c r="E77" i="3" s="1"/>
  <c r="G77" i="2"/>
  <c r="Y75" i="2"/>
  <c r="X75" i="2"/>
  <c r="W75" i="2"/>
  <c r="U75" i="2"/>
  <c r="T75" i="2"/>
  <c r="U75" i="3" s="1"/>
  <c r="M75" i="2"/>
  <c r="H75" i="2"/>
  <c r="G75" i="2"/>
  <c r="X74" i="2"/>
  <c r="W74" i="2"/>
  <c r="U74" i="2"/>
  <c r="T74" i="2"/>
  <c r="M74" i="2"/>
  <c r="E74" i="3" s="1"/>
  <c r="H74" i="2"/>
  <c r="G74" i="2"/>
  <c r="Y73" i="2"/>
  <c r="X73" i="2"/>
  <c r="F72" i="2" s="1"/>
  <c r="W73" i="2"/>
  <c r="K72" i="2" s="1"/>
  <c r="U73" i="2"/>
  <c r="T73" i="2"/>
  <c r="Q73" i="3" s="1"/>
  <c r="M73" i="2"/>
  <c r="E73" i="3" s="1"/>
  <c r="H73" i="2"/>
  <c r="G73" i="2"/>
  <c r="X70" i="2"/>
  <c r="W70" i="2"/>
  <c r="U70" i="2"/>
  <c r="J69" i="2" s="1"/>
  <c r="D69" i="3" s="1"/>
  <c r="T70" i="2"/>
  <c r="M70" i="2"/>
  <c r="E70" i="3" s="1"/>
  <c r="G70" i="2"/>
  <c r="K69" i="2"/>
  <c r="F69" i="2"/>
  <c r="G69" i="2" s="1"/>
  <c r="Y68" i="2"/>
  <c r="X68" i="2"/>
  <c r="F66" i="2" s="1"/>
  <c r="W68" i="2"/>
  <c r="U68" i="2"/>
  <c r="T68" i="2"/>
  <c r="S68" i="3" s="1"/>
  <c r="M68" i="2"/>
  <c r="G68" i="2"/>
  <c r="X67" i="2"/>
  <c r="W67" i="2"/>
  <c r="U67" i="2"/>
  <c r="T67" i="2"/>
  <c r="M67" i="2"/>
  <c r="E67" i="3" s="1"/>
  <c r="G67" i="2"/>
  <c r="X65" i="2"/>
  <c r="W65" i="2"/>
  <c r="U65" i="2"/>
  <c r="T65" i="2"/>
  <c r="L65" i="3" s="1"/>
  <c r="M65" i="2"/>
  <c r="E65" i="3" s="1"/>
  <c r="H65" i="2"/>
  <c r="G65" i="2"/>
  <c r="X64" i="2"/>
  <c r="F63" i="2" s="1"/>
  <c r="W64" i="2"/>
  <c r="V64" i="2"/>
  <c r="U64" i="2"/>
  <c r="T64" i="2"/>
  <c r="M64" i="2"/>
  <c r="E64" i="3" s="1"/>
  <c r="G64" i="2"/>
  <c r="X62" i="2"/>
  <c r="W62" i="2"/>
  <c r="U62" i="2"/>
  <c r="T62" i="2"/>
  <c r="N62" i="3" s="1"/>
  <c r="M62" i="2"/>
  <c r="H62" i="2"/>
  <c r="G62" i="2"/>
  <c r="X61" i="2"/>
  <c r="F60" i="2" s="1"/>
  <c r="G60" i="2" s="1"/>
  <c r="W61" i="2"/>
  <c r="K60" i="2" s="1"/>
  <c r="U61" i="2"/>
  <c r="J60" i="2" s="1"/>
  <c r="D60" i="3" s="1"/>
  <c r="T61" i="2"/>
  <c r="H61" i="2" s="1"/>
  <c r="M61" i="2"/>
  <c r="G61" i="2"/>
  <c r="X59" i="2"/>
  <c r="W59" i="2"/>
  <c r="U59" i="2"/>
  <c r="T59" i="2"/>
  <c r="Z59" i="3" s="1"/>
  <c r="M59" i="2"/>
  <c r="E59" i="3" s="1"/>
  <c r="H59" i="2"/>
  <c r="G59" i="2"/>
  <c r="X58" i="2"/>
  <c r="F57" i="2" s="1"/>
  <c r="W58" i="2"/>
  <c r="K57" i="2" s="1"/>
  <c r="U58" i="2"/>
  <c r="J57" i="2" s="1"/>
  <c r="D57" i="3" s="1"/>
  <c r="T58" i="2"/>
  <c r="H58" i="2" s="1"/>
  <c r="M58" i="2"/>
  <c r="G58" i="2"/>
  <c r="X55" i="2"/>
  <c r="W55" i="2"/>
  <c r="U55" i="2"/>
  <c r="T55" i="2"/>
  <c r="Y55" i="2" s="1"/>
  <c r="M55" i="2"/>
  <c r="H55" i="2"/>
  <c r="G55" i="2"/>
  <c r="X54" i="2"/>
  <c r="W54" i="2"/>
  <c r="U54" i="2"/>
  <c r="T54" i="2"/>
  <c r="O54" i="3" s="1"/>
  <c r="M54" i="2"/>
  <c r="H54" i="2"/>
  <c r="G54" i="2"/>
  <c r="X53" i="2"/>
  <c r="W53" i="2"/>
  <c r="V53" i="2"/>
  <c r="U53" i="2"/>
  <c r="T53" i="2"/>
  <c r="Y53" i="2" s="1"/>
  <c r="M53" i="2"/>
  <c r="E53" i="3" s="1"/>
  <c r="H53" i="2"/>
  <c r="G53" i="2"/>
  <c r="X51" i="2"/>
  <c r="W51" i="2"/>
  <c r="U51" i="2"/>
  <c r="T51" i="2"/>
  <c r="V51" i="3" s="1"/>
  <c r="M51" i="2"/>
  <c r="H51" i="2"/>
  <c r="G51" i="2"/>
  <c r="Y50" i="2"/>
  <c r="X50" i="2"/>
  <c r="F48" i="2" s="1"/>
  <c r="G48" i="2" s="1"/>
  <c r="W50" i="2"/>
  <c r="K48" i="2" s="1"/>
  <c r="U50" i="2"/>
  <c r="T50" i="2"/>
  <c r="M50" i="2"/>
  <c r="E50" i="3" s="1"/>
  <c r="G50" i="2"/>
  <c r="X49" i="2"/>
  <c r="W49" i="2"/>
  <c r="U49" i="2"/>
  <c r="T49" i="2"/>
  <c r="T49" i="3" s="1"/>
  <c r="M49" i="2"/>
  <c r="E49" i="3" s="1"/>
  <c r="H49" i="2"/>
  <c r="G49" i="2"/>
  <c r="X47" i="2"/>
  <c r="F46" i="2" s="1"/>
  <c r="G46" i="2" s="1"/>
  <c r="W47" i="2"/>
  <c r="K46" i="2" s="1"/>
  <c r="U47" i="2"/>
  <c r="J46" i="2" s="1"/>
  <c r="D46" i="3" s="1"/>
  <c r="T47" i="2"/>
  <c r="H47" i="2" s="1"/>
  <c r="M47" i="2"/>
  <c r="V47" i="2" s="1"/>
  <c r="G47" i="2"/>
  <c r="X45" i="2"/>
  <c r="W45" i="2"/>
  <c r="U45" i="2"/>
  <c r="T45" i="2"/>
  <c r="M45" i="3" s="1"/>
  <c r="M45" i="2"/>
  <c r="E45" i="3" s="1"/>
  <c r="H45" i="2"/>
  <c r="G45" i="2"/>
  <c r="X44" i="2"/>
  <c r="W44" i="2"/>
  <c r="V44" i="2"/>
  <c r="U44" i="2"/>
  <c r="T44" i="2"/>
  <c r="T44" i="3" s="1"/>
  <c r="M44" i="2"/>
  <c r="E44" i="3" s="1"/>
  <c r="G44" i="2"/>
  <c r="X43" i="2"/>
  <c r="W43" i="2"/>
  <c r="U43" i="2"/>
  <c r="T43" i="2"/>
  <c r="H43" i="3" s="1"/>
  <c r="M43" i="2"/>
  <c r="V43" i="2" s="1"/>
  <c r="G43" i="2"/>
  <c r="X40" i="2"/>
  <c r="W40" i="2"/>
  <c r="U40" i="2"/>
  <c r="T40" i="2"/>
  <c r="S40" i="3" s="1"/>
  <c r="M40" i="2"/>
  <c r="E40" i="3" s="1"/>
  <c r="G40" i="2"/>
  <c r="Y39" i="2"/>
  <c r="X39" i="2"/>
  <c r="F38" i="2" s="1"/>
  <c r="W39" i="2"/>
  <c r="K38" i="2" s="1"/>
  <c r="V39" i="2"/>
  <c r="U39" i="2"/>
  <c r="T39" i="2"/>
  <c r="F39" i="3" s="1"/>
  <c r="M39" i="2"/>
  <c r="E39" i="3" s="1"/>
  <c r="G39" i="2"/>
  <c r="X37" i="2"/>
  <c r="W37" i="2"/>
  <c r="U37" i="2"/>
  <c r="T37" i="2"/>
  <c r="U37" i="3" s="1"/>
  <c r="M37" i="2"/>
  <c r="E37" i="3" s="1"/>
  <c r="G37" i="2"/>
  <c r="X36" i="2"/>
  <c r="W36" i="2"/>
  <c r="U36" i="2"/>
  <c r="J34" i="2" s="1"/>
  <c r="D34" i="3" s="1"/>
  <c r="T36" i="2"/>
  <c r="Y36" i="2" s="1"/>
  <c r="M36" i="2"/>
  <c r="E36" i="3" s="1"/>
  <c r="G36" i="2"/>
  <c r="X35" i="2"/>
  <c r="W35" i="2"/>
  <c r="U35" i="2"/>
  <c r="T35" i="2"/>
  <c r="M35" i="2"/>
  <c r="E35" i="3" s="1"/>
  <c r="G35" i="2"/>
  <c r="X33" i="2"/>
  <c r="W33" i="2"/>
  <c r="U33" i="2"/>
  <c r="T33" i="2"/>
  <c r="P33" i="3" s="1"/>
  <c r="M33" i="2"/>
  <c r="E33" i="3" s="1"/>
  <c r="G33" i="2"/>
  <c r="X32" i="2"/>
  <c r="F31" i="2" s="1"/>
  <c r="W32" i="2"/>
  <c r="K31" i="2" s="1"/>
  <c r="U32" i="2"/>
  <c r="T32" i="2"/>
  <c r="X32" i="3" s="1"/>
  <c r="M32" i="2"/>
  <c r="G32" i="2"/>
  <c r="X30" i="2"/>
  <c r="W30" i="2"/>
  <c r="U30" i="2"/>
  <c r="T30" i="2"/>
  <c r="M30" i="2"/>
  <c r="E30" i="3" s="1"/>
  <c r="H30" i="2"/>
  <c r="G30" i="2"/>
  <c r="X29" i="2"/>
  <c r="W29" i="2"/>
  <c r="K28" i="2" s="1"/>
  <c r="U29" i="2"/>
  <c r="T29" i="2"/>
  <c r="L29" i="3" s="1"/>
  <c r="M29" i="2"/>
  <c r="E29" i="3" s="1"/>
  <c r="H29" i="2"/>
  <c r="G29" i="2"/>
  <c r="F28" i="2"/>
  <c r="J27" i="2"/>
  <c r="D27" i="3" s="1"/>
  <c r="X26" i="2"/>
  <c r="W26" i="2"/>
  <c r="U26" i="2"/>
  <c r="T26" i="2"/>
  <c r="H26" i="2" s="1"/>
  <c r="M26" i="2"/>
  <c r="E26" i="3" s="1"/>
  <c r="G26" i="2"/>
  <c r="X25" i="2"/>
  <c r="W25" i="2"/>
  <c r="U25" i="2"/>
  <c r="T25" i="2"/>
  <c r="M25" i="2"/>
  <c r="E25" i="3" s="1"/>
  <c r="H25" i="2"/>
  <c r="G25" i="2"/>
  <c r="X24" i="2"/>
  <c r="F23" i="2" s="1"/>
  <c r="G23" i="2" s="1"/>
  <c r="W24" i="2"/>
  <c r="U24" i="2"/>
  <c r="J23" i="2" s="1"/>
  <c r="D23" i="3" s="1"/>
  <c r="T24" i="2"/>
  <c r="H24" i="2" s="1"/>
  <c r="M24" i="2"/>
  <c r="E24" i="3" s="1"/>
  <c r="G24" i="2"/>
  <c r="Y22" i="2"/>
  <c r="X22" i="2"/>
  <c r="W22" i="2"/>
  <c r="U22" i="2"/>
  <c r="T22" i="2"/>
  <c r="Z22" i="3" s="1"/>
  <c r="M22" i="2"/>
  <c r="E22" i="3" s="1"/>
  <c r="H22" i="2"/>
  <c r="G22" i="2"/>
  <c r="X21" i="2"/>
  <c r="W21" i="2"/>
  <c r="U21" i="2"/>
  <c r="J20" i="2" s="1"/>
  <c r="D20" i="3" s="1"/>
  <c r="T21" i="2"/>
  <c r="L21" i="3" s="1"/>
  <c r="M21" i="2"/>
  <c r="E21" i="3" s="1"/>
  <c r="H21" i="2"/>
  <c r="G21" i="2"/>
  <c r="X19" i="2"/>
  <c r="W19" i="2"/>
  <c r="V19" i="2"/>
  <c r="U19" i="2"/>
  <c r="T19" i="2"/>
  <c r="V19" i="3" s="1"/>
  <c r="M19" i="2"/>
  <c r="E19" i="3" s="1"/>
  <c r="G19" i="2"/>
  <c r="X18" i="2"/>
  <c r="W18" i="2"/>
  <c r="U18" i="2"/>
  <c r="T18" i="2"/>
  <c r="Y18" i="3" s="1"/>
  <c r="M18" i="2"/>
  <c r="E18" i="3" s="1"/>
  <c r="H18" i="2"/>
  <c r="G18" i="2"/>
  <c r="X17" i="2"/>
  <c r="F15" i="2" s="1"/>
  <c r="W17" i="2"/>
  <c r="K15" i="2" s="1"/>
  <c r="U17" i="2"/>
  <c r="T17" i="2"/>
  <c r="Z17" i="3" s="1"/>
  <c r="M17" i="2"/>
  <c r="V17" i="2" s="1"/>
  <c r="G17" i="2"/>
  <c r="X16" i="2"/>
  <c r="W16" i="2"/>
  <c r="U16" i="2"/>
  <c r="T16" i="2"/>
  <c r="H16" i="2" s="1"/>
  <c r="M16" i="2"/>
  <c r="V16" i="2" s="1"/>
  <c r="G16" i="2"/>
  <c r="X14" i="2"/>
  <c r="W14" i="2"/>
  <c r="U14" i="2"/>
  <c r="T14" i="2"/>
  <c r="H14" i="2" s="1"/>
  <c r="M14" i="2"/>
  <c r="E14" i="3" s="1"/>
  <c r="G14" i="2"/>
  <c r="X13" i="2"/>
  <c r="W13" i="2"/>
  <c r="K5" i="2" s="1"/>
  <c r="V13" i="2"/>
  <c r="U13" i="2"/>
  <c r="T13" i="2"/>
  <c r="M13" i="2"/>
  <c r="E13" i="3" s="1"/>
  <c r="G13" i="2"/>
  <c r="X12" i="2"/>
  <c r="W12" i="2"/>
  <c r="U12" i="2"/>
  <c r="T12" i="2"/>
  <c r="X12" i="3" s="1"/>
  <c r="M12" i="2"/>
  <c r="E12" i="3" s="1"/>
  <c r="H12" i="2"/>
  <c r="G12" i="2"/>
  <c r="X11" i="2"/>
  <c r="W11" i="2"/>
  <c r="U11" i="2"/>
  <c r="J10" i="2" s="1"/>
  <c r="D10" i="3" s="1"/>
  <c r="T11" i="2"/>
  <c r="M11" i="2"/>
  <c r="E11" i="3" s="1"/>
  <c r="H11" i="2"/>
  <c r="G11" i="2"/>
  <c r="X9" i="2"/>
  <c r="W9" i="2"/>
  <c r="U9" i="2"/>
  <c r="T9" i="2"/>
  <c r="Z9" i="3" s="1"/>
  <c r="M9" i="2"/>
  <c r="E9" i="3" s="1"/>
  <c r="H9" i="2"/>
  <c r="G9" i="2"/>
  <c r="X8" i="2"/>
  <c r="W8" i="2"/>
  <c r="U8" i="2"/>
  <c r="T8" i="2"/>
  <c r="K8" i="3" s="1"/>
  <c r="M8" i="2"/>
  <c r="V8" i="2" s="1"/>
  <c r="H8" i="2"/>
  <c r="G8" i="2"/>
  <c r="X7" i="2"/>
  <c r="W7" i="2"/>
  <c r="K6" i="2" s="1"/>
  <c r="U7" i="2"/>
  <c r="J6" i="2" s="1"/>
  <c r="D6" i="3" s="1"/>
  <c r="T7" i="2"/>
  <c r="M7" i="3" s="1"/>
  <c r="M7" i="2"/>
  <c r="E7" i="3" s="1"/>
  <c r="G7" i="2"/>
  <c r="I79" i="1"/>
  <c r="H79" i="1"/>
  <c r="F79" i="1"/>
  <c r="E79" i="1"/>
  <c r="I78" i="1"/>
  <c r="H78" i="1"/>
  <c r="F78" i="1"/>
  <c r="E78" i="1"/>
  <c r="I77" i="1"/>
  <c r="H77" i="1"/>
  <c r="F77" i="1"/>
  <c r="E77" i="1"/>
  <c r="I76" i="1"/>
  <c r="H76" i="1"/>
  <c r="F76" i="1"/>
  <c r="E76" i="1"/>
  <c r="I75" i="1"/>
  <c r="H75" i="1"/>
  <c r="F75" i="1"/>
  <c r="E75" i="1"/>
  <c r="I74" i="1"/>
  <c r="H74" i="1"/>
  <c r="F74" i="1"/>
  <c r="E74" i="1"/>
  <c r="I73" i="1"/>
  <c r="H73" i="1"/>
  <c r="F73" i="1"/>
  <c r="E73" i="1"/>
  <c r="I72" i="1"/>
  <c r="H72" i="1"/>
  <c r="F72" i="1"/>
  <c r="E72" i="1"/>
  <c r="I71" i="1"/>
  <c r="H71" i="1"/>
  <c r="F71" i="1"/>
  <c r="E71" i="1"/>
  <c r="I70" i="1"/>
  <c r="H70" i="1"/>
  <c r="F70" i="1"/>
  <c r="E70" i="1"/>
  <c r="I69" i="1"/>
  <c r="H69" i="1"/>
  <c r="F69" i="1"/>
  <c r="E69" i="1"/>
  <c r="I68" i="1"/>
  <c r="H68" i="1"/>
  <c r="F68" i="1"/>
  <c r="E68" i="1"/>
  <c r="I67" i="1"/>
  <c r="H67" i="1"/>
  <c r="F67" i="1"/>
  <c r="E67" i="1"/>
  <c r="I66" i="1"/>
  <c r="H66" i="1"/>
  <c r="F66" i="1"/>
  <c r="E66" i="1"/>
  <c r="I65" i="1"/>
  <c r="H65" i="1"/>
  <c r="F65" i="1"/>
  <c r="E65" i="1"/>
  <c r="I64" i="1"/>
  <c r="H64" i="1"/>
  <c r="F64" i="1"/>
  <c r="E64" i="1"/>
  <c r="I63" i="1"/>
  <c r="H63" i="1"/>
  <c r="F63" i="1"/>
  <c r="E63" i="1"/>
  <c r="I62" i="1"/>
  <c r="H62" i="1"/>
  <c r="F62" i="1"/>
  <c r="E62" i="1"/>
  <c r="I61" i="1"/>
  <c r="H61" i="1"/>
  <c r="F61" i="1"/>
  <c r="E61" i="1"/>
  <c r="I60" i="1"/>
  <c r="H60" i="1"/>
  <c r="F60" i="1"/>
  <c r="E60" i="1"/>
  <c r="I59" i="1"/>
  <c r="H59" i="1"/>
  <c r="F59" i="1"/>
  <c r="E59" i="1"/>
  <c r="I58" i="1"/>
  <c r="H58" i="1"/>
  <c r="F58" i="1"/>
  <c r="E58" i="1"/>
  <c r="I57" i="1"/>
  <c r="H57" i="1"/>
  <c r="F57" i="1"/>
  <c r="E57" i="1"/>
  <c r="I56" i="1"/>
  <c r="H56" i="1"/>
  <c r="F56" i="1"/>
  <c r="E56" i="1"/>
  <c r="I55" i="1"/>
  <c r="H55" i="1"/>
  <c r="F55" i="1"/>
  <c r="E55" i="1"/>
  <c r="I54" i="1"/>
  <c r="H54" i="1"/>
  <c r="F54" i="1"/>
  <c r="E54" i="1"/>
  <c r="I53" i="1"/>
  <c r="H53" i="1"/>
  <c r="F53" i="1"/>
  <c r="E53" i="1"/>
  <c r="I52" i="1"/>
  <c r="H52" i="1"/>
  <c r="F52" i="1"/>
  <c r="E52" i="1"/>
  <c r="I51" i="1"/>
  <c r="H51" i="1"/>
  <c r="F51" i="1"/>
  <c r="E51" i="1"/>
  <c r="I50" i="1"/>
  <c r="H50" i="1"/>
  <c r="F50" i="1"/>
  <c r="E50" i="1"/>
  <c r="I49" i="1"/>
  <c r="H49" i="1"/>
  <c r="F49" i="1"/>
  <c r="E49" i="1"/>
  <c r="I48" i="1"/>
  <c r="H48" i="1"/>
  <c r="F48" i="1"/>
  <c r="E48" i="1"/>
  <c r="I47" i="1"/>
  <c r="H47" i="1"/>
  <c r="F47" i="1"/>
  <c r="E47" i="1"/>
  <c r="I46" i="1"/>
  <c r="H46" i="1"/>
  <c r="F46" i="1"/>
  <c r="E46" i="1"/>
  <c r="I45" i="1"/>
  <c r="H45" i="1"/>
  <c r="F45" i="1"/>
  <c r="E45" i="1"/>
  <c r="I44" i="1"/>
  <c r="H44" i="1"/>
  <c r="F44" i="1"/>
  <c r="E44" i="1"/>
  <c r="G39" i="1"/>
  <c r="I39" i="1" s="1"/>
  <c r="G38" i="1"/>
  <c r="I38" i="1" s="1"/>
  <c r="G37" i="1"/>
  <c r="I37" i="1" s="1"/>
  <c r="H36" i="1"/>
  <c r="G36" i="1"/>
  <c r="I36" i="1" s="1"/>
  <c r="G35" i="1"/>
  <c r="I35" i="1" s="1"/>
  <c r="G34" i="1"/>
  <c r="I34" i="1" s="1"/>
  <c r="G33" i="1"/>
  <c r="I33" i="1" s="1"/>
  <c r="H28" i="1"/>
  <c r="G28" i="1"/>
  <c r="H27" i="1"/>
  <c r="G27" i="1"/>
  <c r="H26" i="1"/>
  <c r="G26" i="1"/>
  <c r="B26" i="1"/>
  <c r="H25" i="1"/>
  <c r="G25" i="1"/>
  <c r="H24" i="1"/>
  <c r="G24" i="1"/>
  <c r="B24" i="1"/>
  <c r="H23" i="1"/>
  <c r="I23" i="1" s="1"/>
  <c r="G23" i="1"/>
  <c r="E18" i="1"/>
  <c r="E17" i="1"/>
  <c r="E16" i="1"/>
  <c r="E15" i="1"/>
  <c r="B15" i="1"/>
  <c r="E14" i="1"/>
  <c r="B14" i="1"/>
  <c r="E13" i="1"/>
  <c r="B13" i="1"/>
  <c r="E12" i="1"/>
  <c r="B12" i="1"/>
  <c r="E11" i="1"/>
  <c r="B11" i="1"/>
  <c r="B10" i="1"/>
  <c r="B4" i="1"/>
  <c r="B5" i="1" s="1"/>
  <c r="V21" i="2" l="1"/>
  <c r="X51" i="3"/>
  <c r="K95" i="2"/>
  <c r="H16" i="1" s="1"/>
  <c r="Z51" i="3"/>
  <c r="J110" i="2"/>
  <c r="D110" i="3" s="1"/>
  <c r="Y29" i="2"/>
  <c r="T115" i="3"/>
  <c r="Y47" i="2"/>
  <c r="T46" i="2" s="1"/>
  <c r="R46" i="3" s="1"/>
  <c r="Y103" i="2"/>
  <c r="T102" i="2" s="1"/>
  <c r="H102" i="3" s="1"/>
  <c r="I65" i="3"/>
  <c r="V14" i="2"/>
  <c r="M80" i="2"/>
  <c r="W65" i="3"/>
  <c r="F6" i="2"/>
  <c r="Q29" i="3"/>
  <c r="K117" i="2"/>
  <c r="J141" i="2"/>
  <c r="D141" i="3" s="1"/>
  <c r="R29" i="3"/>
  <c r="Q33" i="3"/>
  <c r="E43" i="3"/>
  <c r="K10" i="2"/>
  <c r="F41" i="2"/>
  <c r="Y59" i="2"/>
  <c r="Y62" i="2"/>
  <c r="V67" i="2"/>
  <c r="V109" i="2"/>
  <c r="F104" i="2"/>
  <c r="V142" i="2"/>
  <c r="S29" i="3"/>
  <c r="R33" i="3"/>
  <c r="G62" i="3"/>
  <c r="T75" i="3"/>
  <c r="B9" i="9"/>
  <c r="B25" i="1" s="1"/>
  <c r="Y7" i="2"/>
  <c r="T6" i="2" s="1"/>
  <c r="V36" i="2"/>
  <c r="Y58" i="2"/>
  <c r="T57" i="2" s="1"/>
  <c r="K57" i="3" s="1"/>
  <c r="Y118" i="2"/>
  <c r="T117" i="2" s="1"/>
  <c r="V133" i="2"/>
  <c r="Y54" i="2"/>
  <c r="T52" i="2" s="1"/>
  <c r="H52" i="2" s="1"/>
  <c r="K110" i="2"/>
  <c r="I24" i="3"/>
  <c r="J91" i="2"/>
  <c r="D91" i="3" s="1"/>
  <c r="P29" i="3"/>
  <c r="K91" i="2"/>
  <c r="Y8" i="2"/>
  <c r="V12" i="2"/>
  <c r="K42" i="2"/>
  <c r="V85" i="2"/>
  <c r="Y37" i="2"/>
  <c r="J42" i="2"/>
  <c r="D42" i="3" s="1"/>
  <c r="Y45" i="2"/>
  <c r="Y49" i="2"/>
  <c r="K66" i="2"/>
  <c r="F83" i="2"/>
  <c r="Z83" i="3" s="1"/>
  <c r="V97" i="2"/>
  <c r="Y119" i="2"/>
  <c r="F128" i="2"/>
  <c r="G128" i="2" s="1"/>
  <c r="K141" i="2"/>
  <c r="T29" i="3"/>
  <c r="T33" i="3"/>
  <c r="O62" i="3"/>
  <c r="O7" i="3"/>
  <c r="Y32" i="2"/>
  <c r="J65" i="3"/>
  <c r="Y14" i="2"/>
  <c r="F91" i="2"/>
  <c r="K20" i="2"/>
  <c r="B19" i="1" s="1"/>
  <c r="J52" i="2"/>
  <c r="D52" i="3" s="1"/>
  <c r="V116" i="2"/>
  <c r="F141" i="2"/>
  <c r="W141" i="3" s="1"/>
  <c r="V29" i="3"/>
  <c r="F53" i="3"/>
  <c r="D38" i="9"/>
  <c r="V77" i="2"/>
  <c r="M76" i="2" s="1"/>
  <c r="E76" i="3" s="1"/>
  <c r="V90" i="2"/>
  <c r="Y44" i="2"/>
  <c r="Y61" i="2"/>
  <c r="T60" i="2" s="1"/>
  <c r="H60" i="2" s="1"/>
  <c r="F10" i="2"/>
  <c r="G10" i="2" s="1"/>
  <c r="D39" i="9"/>
  <c r="V100" i="2"/>
  <c r="K24" i="3"/>
  <c r="V45" i="2"/>
  <c r="J66" i="2"/>
  <c r="D66" i="3" s="1"/>
  <c r="K41" i="2"/>
  <c r="H13" i="1" s="1"/>
  <c r="F56" i="2"/>
  <c r="V82" i="2"/>
  <c r="V89" i="2"/>
  <c r="Y142" i="2"/>
  <c r="K14" i="3"/>
  <c r="I22" i="3"/>
  <c r="N53" i="3"/>
  <c r="B15" i="9"/>
  <c r="B27" i="1" s="1"/>
  <c r="D36" i="9"/>
  <c r="T48" i="2"/>
  <c r="M48" i="3" s="1"/>
  <c r="V103" i="2"/>
  <c r="M102" i="2" s="1"/>
  <c r="Y65" i="2"/>
  <c r="K76" i="2"/>
  <c r="Y12" i="2"/>
  <c r="V30" i="2"/>
  <c r="J5" i="2"/>
  <c r="G11" i="1" s="1"/>
  <c r="V26" i="2"/>
  <c r="V35" i="2"/>
  <c r="F42" i="2"/>
  <c r="K52" i="2"/>
  <c r="J63" i="2"/>
  <c r="D63" i="3" s="1"/>
  <c r="H68" i="2"/>
  <c r="V93" i="2"/>
  <c r="V135" i="2"/>
  <c r="M134" i="2" s="1"/>
  <c r="L14" i="3"/>
  <c r="J22" i="3"/>
  <c r="F27" i="2"/>
  <c r="G27" i="2" s="1"/>
  <c r="V40" i="2"/>
  <c r="M38" i="2" s="1"/>
  <c r="E38" i="3" s="1"/>
  <c r="K65" i="3"/>
  <c r="Y21" i="2"/>
  <c r="T20" i="2" s="1"/>
  <c r="H20" i="2" s="1"/>
  <c r="K23" i="2"/>
  <c r="V49" i="2"/>
  <c r="H7" i="2"/>
  <c r="K34" i="2"/>
  <c r="F52" i="2"/>
  <c r="N52" i="3" s="1"/>
  <c r="J72" i="2"/>
  <c r="D72" i="3" s="1"/>
  <c r="M14" i="3"/>
  <c r="N22" i="3"/>
  <c r="J128" i="2"/>
  <c r="D128" i="3" s="1"/>
  <c r="J71" i="2"/>
  <c r="V74" i="2"/>
  <c r="V126" i="2"/>
  <c r="J48" i="2"/>
  <c r="D48" i="3" s="1"/>
  <c r="Y51" i="2"/>
  <c r="V59" i="2"/>
  <c r="Z37" i="3"/>
  <c r="V78" i="2"/>
  <c r="V119" i="2"/>
  <c r="H32" i="2"/>
  <c r="F34" i="2"/>
  <c r="G34" i="2" s="1"/>
  <c r="M46" i="2"/>
  <c r="E46" i="3" s="1"/>
  <c r="V50" i="2"/>
  <c r="K63" i="2"/>
  <c r="V73" i="2"/>
  <c r="J86" i="2"/>
  <c r="D86" i="3" s="1"/>
  <c r="Y89" i="2"/>
  <c r="H114" i="2"/>
  <c r="N14" i="3"/>
  <c r="O22" i="3"/>
  <c r="Z26" i="3"/>
  <c r="S73" i="3"/>
  <c r="G63" i="2"/>
  <c r="D71" i="3"/>
  <c r="G15" i="1"/>
  <c r="E80" i="3"/>
  <c r="J64" i="1"/>
  <c r="H11" i="1"/>
  <c r="B17" i="1"/>
  <c r="B7" i="1"/>
  <c r="I25" i="1"/>
  <c r="I24" i="1"/>
  <c r="G6" i="2"/>
  <c r="G91" i="2"/>
  <c r="I26" i="1"/>
  <c r="G41" i="2"/>
  <c r="G104" i="2"/>
  <c r="H46" i="2"/>
  <c r="G46" i="3"/>
  <c r="I27" i="1"/>
  <c r="G86" i="2"/>
  <c r="G31" i="2"/>
  <c r="G42" i="2"/>
  <c r="I28" i="1"/>
  <c r="O52" i="3"/>
  <c r="G56" i="1"/>
  <c r="G98" i="2"/>
  <c r="G12" i="1"/>
  <c r="Y17" i="2"/>
  <c r="V22" i="2"/>
  <c r="M20" i="2" s="1"/>
  <c r="Y24" i="2"/>
  <c r="J31" i="2"/>
  <c r="D31" i="3" s="1"/>
  <c r="I50" i="3"/>
  <c r="F50" i="3"/>
  <c r="Z50" i="3"/>
  <c r="Y50" i="3"/>
  <c r="X50" i="3"/>
  <c r="W50" i="3"/>
  <c r="U50" i="3"/>
  <c r="T50" i="3"/>
  <c r="S50" i="3"/>
  <c r="R50" i="3"/>
  <c r="Q50" i="3"/>
  <c r="P50" i="3"/>
  <c r="H50" i="2"/>
  <c r="V50" i="3"/>
  <c r="O50" i="3"/>
  <c r="N50" i="3"/>
  <c r="M50" i="3"/>
  <c r="L50" i="3"/>
  <c r="K50" i="3"/>
  <c r="H50" i="3"/>
  <c r="G57" i="2"/>
  <c r="W61" i="3"/>
  <c r="R61" i="3"/>
  <c r="P61" i="3"/>
  <c r="O61" i="3"/>
  <c r="N61" i="3"/>
  <c r="M61" i="3"/>
  <c r="L61" i="3"/>
  <c r="J61" i="3"/>
  <c r="I61" i="3"/>
  <c r="H61" i="3"/>
  <c r="G61" i="3"/>
  <c r="F61" i="3"/>
  <c r="Z61" i="3"/>
  <c r="Y61" i="3"/>
  <c r="X61" i="3"/>
  <c r="V61" i="3"/>
  <c r="U61" i="3"/>
  <c r="T61" i="3"/>
  <c r="S61" i="3"/>
  <c r="Q61" i="3"/>
  <c r="K61" i="3"/>
  <c r="J64" i="3"/>
  <c r="G64" i="3"/>
  <c r="F64" i="3"/>
  <c r="W64" i="3"/>
  <c r="I64" i="3"/>
  <c r="H64" i="3"/>
  <c r="Y64" i="3"/>
  <c r="X64" i="3"/>
  <c r="V64" i="3"/>
  <c r="U64" i="3"/>
  <c r="T64" i="3"/>
  <c r="S64" i="3"/>
  <c r="R64" i="3"/>
  <c r="H64" i="2"/>
  <c r="Z64" i="3"/>
  <c r="Q64" i="3"/>
  <c r="P64" i="3"/>
  <c r="O64" i="3"/>
  <c r="N64" i="3"/>
  <c r="M64" i="3"/>
  <c r="K64" i="3"/>
  <c r="Y64" i="2"/>
  <c r="T78" i="3"/>
  <c r="M78" i="3"/>
  <c r="H78" i="3"/>
  <c r="Z78" i="3"/>
  <c r="S78" i="3"/>
  <c r="X78" i="3"/>
  <c r="W78" i="3"/>
  <c r="V78" i="3"/>
  <c r="U78" i="3"/>
  <c r="R78" i="3"/>
  <c r="I78" i="3"/>
  <c r="G78" i="3"/>
  <c r="F78" i="3"/>
  <c r="Y78" i="3"/>
  <c r="Q78" i="3"/>
  <c r="P78" i="3"/>
  <c r="N78" i="3"/>
  <c r="H78" i="2"/>
  <c r="E16" i="3"/>
  <c r="V18" i="3"/>
  <c r="H24" i="3"/>
  <c r="Y26" i="3"/>
  <c r="F43" i="3"/>
  <c r="V48" i="3"/>
  <c r="G13" i="3"/>
  <c r="Z13" i="3"/>
  <c r="F13" i="3"/>
  <c r="Y13" i="3"/>
  <c r="M13" i="3"/>
  <c r="L13" i="3"/>
  <c r="K13" i="3"/>
  <c r="J13" i="3"/>
  <c r="I13" i="3"/>
  <c r="H13" i="3"/>
  <c r="X13" i="3"/>
  <c r="W13" i="3"/>
  <c r="V13" i="3"/>
  <c r="T13" i="3"/>
  <c r="N13" i="3"/>
  <c r="S35" i="3"/>
  <c r="U35" i="3"/>
  <c r="T35" i="3"/>
  <c r="R35" i="3"/>
  <c r="Q35" i="3"/>
  <c r="N35" i="3"/>
  <c r="L35" i="3"/>
  <c r="M35" i="3"/>
  <c r="K35" i="3"/>
  <c r="J35" i="3"/>
  <c r="I35" i="3"/>
  <c r="H35" i="3"/>
  <c r="G35" i="3"/>
  <c r="F35" i="3"/>
  <c r="Z35" i="3"/>
  <c r="O35" i="3"/>
  <c r="I40" i="3"/>
  <c r="P40" i="3"/>
  <c r="O40" i="3"/>
  <c r="N40" i="3"/>
  <c r="M40" i="3"/>
  <c r="J40" i="3"/>
  <c r="H40" i="3"/>
  <c r="G40" i="3"/>
  <c r="F40" i="3"/>
  <c r="Z40" i="3"/>
  <c r="L40" i="3"/>
  <c r="K40" i="3"/>
  <c r="Y40" i="3"/>
  <c r="W40" i="3"/>
  <c r="Q40" i="3"/>
  <c r="L67" i="3"/>
  <c r="M67" i="3"/>
  <c r="K67" i="3"/>
  <c r="G67" i="3"/>
  <c r="F67" i="3"/>
  <c r="Z67" i="3"/>
  <c r="Y67" i="3"/>
  <c r="X67" i="3"/>
  <c r="W67" i="3"/>
  <c r="V67" i="3"/>
  <c r="T67" i="3"/>
  <c r="S67" i="3"/>
  <c r="R67" i="3"/>
  <c r="Q67" i="3"/>
  <c r="P67" i="3"/>
  <c r="O67" i="3"/>
  <c r="N67" i="3"/>
  <c r="V81" i="3"/>
  <c r="R81" i="3"/>
  <c r="M81" i="3"/>
  <c r="J81" i="3"/>
  <c r="Y81" i="3"/>
  <c r="Z81" i="3"/>
  <c r="X81" i="3"/>
  <c r="T81" i="3"/>
  <c r="S81" i="3"/>
  <c r="Q81" i="3"/>
  <c r="P81" i="3"/>
  <c r="O81" i="3"/>
  <c r="I81" i="3"/>
  <c r="W81" i="3"/>
  <c r="U81" i="3"/>
  <c r="N81" i="3"/>
  <c r="L81" i="3"/>
  <c r="K81" i="3"/>
  <c r="H81" i="3"/>
  <c r="G81" i="3"/>
  <c r="F81" i="3"/>
  <c r="H81" i="2"/>
  <c r="J93" i="3"/>
  <c r="T93" i="3"/>
  <c r="O93" i="3"/>
  <c r="L93" i="3"/>
  <c r="I93" i="3"/>
  <c r="G93" i="3"/>
  <c r="Z93" i="3"/>
  <c r="W93" i="3"/>
  <c r="X93" i="3"/>
  <c r="V93" i="3"/>
  <c r="U93" i="3"/>
  <c r="Q93" i="3"/>
  <c r="P93" i="3"/>
  <c r="N93" i="3"/>
  <c r="M93" i="3"/>
  <c r="K93" i="3"/>
  <c r="Y93" i="3"/>
  <c r="S93" i="3"/>
  <c r="Y93" i="2"/>
  <c r="R93" i="3"/>
  <c r="H93" i="3"/>
  <c r="F93" i="3"/>
  <c r="H93" i="2"/>
  <c r="Y102" i="3"/>
  <c r="U102" i="3"/>
  <c r="T102" i="3"/>
  <c r="Q102" i="3"/>
  <c r="N102" i="3"/>
  <c r="L102" i="3"/>
  <c r="I102" i="3"/>
  <c r="F102" i="3"/>
  <c r="S102" i="3"/>
  <c r="R102" i="3"/>
  <c r="O102" i="3"/>
  <c r="E111" i="3"/>
  <c r="V111" i="2"/>
  <c r="W18" i="3"/>
  <c r="T40" i="3"/>
  <c r="G43" i="3"/>
  <c r="W48" i="3"/>
  <c r="M63" i="2"/>
  <c r="E84" i="3"/>
  <c r="V84" i="2"/>
  <c r="M83" i="2" s="1"/>
  <c r="M86" i="2"/>
  <c r="I102" i="2"/>
  <c r="H102" i="2"/>
  <c r="T108" i="3"/>
  <c r="N108" i="3"/>
  <c r="X108" i="3"/>
  <c r="S108" i="3"/>
  <c r="R108" i="3"/>
  <c r="O108" i="3"/>
  <c r="L108" i="3"/>
  <c r="J108" i="3"/>
  <c r="H108" i="3"/>
  <c r="Z108" i="3"/>
  <c r="W108" i="3"/>
  <c r="V108" i="3"/>
  <c r="U108" i="3"/>
  <c r="Q108" i="3"/>
  <c r="P108" i="3"/>
  <c r="K108" i="3"/>
  <c r="G108" i="3"/>
  <c r="Y108" i="3"/>
  <c r="M108" i="3"/>
  <c r="I108" i="3"/>
  <c r="F108" i="3"/>
  <c r="H108" i="2"/>
  <c r="J133" i="3"/>
  <c r="X133" i="3"/>
  <c r="F133" i="3"/>
  <c r="W133" i="3"/>
  <c r="V133" i="3"/>
  <c r="U133" i="3"/>
  <c r="T133" i="3"/>
  <c r="S133" i="3"/>
  <c r="R133" i="3"/>
  <c r="Q133" i="3"/>
  <c r="O133" i="3"/>
  <c r="N133" i="3"/>
  <c r="M133" i="3"/>
  <c r="I133" i="3"/>
  <c r="H133" i="3"/>
  <c r="Z133" i="3"/>
  <c r="Y133" i="3"/>
  <c r="P133" i="3"/>
  <c r="K133" i="3"/>
  <c r="L133" i="3"/>
  <c r="G133" i="3"/>
  <c r="H133" i="2"/>
  <c r="Y133" i="2"/>
  <c r="X18" i="3"/>
  <c r="P35" i="3"/>
  <c r="U40" i="3"/>
  <c r="S11" i="3"/>
  <c r="R11" i="3"/>
  <c r="Q11" i="3"/>
  <c r="P11" i="3"/>
  <c r="O11" i="3"/>
  <c r="N11" i="3"/>
  <c r="M11" i="3"/>
  <c r="L11" i="3"/>
  <c r="K11" i="3"/>
  <c r="J11" i="3"/>
  <c r="I11" i="3"/>
  <c r="H11" i="3"/>
  <c r="G11" i="3"/>
  <c r="F11" i="3"/>
  <c r="Z11" i="3"/>
  <c r="T11" i="3"/>
  <c r="K27" i="2"/>
  <c r="H12" i="1" s="1"/>
  <c r="K43" i="3"/>
  <c r="U43" i="3"/>
  <c r="T43" i="3"/>
  <c r="S43" i="3"/>
  <c r="R43" i="3"/>
  <c r="O43" i="3"/>
  <c r="N43" i="3"/>
  <c r="M43" i="3"/>
  <c r="L43" i="3"/>
  <c r="J43" i="3"/>
  <c r="H43" i="2"/>
  <c r="Z43" i="3"/>
  <c r="Y43" i="3"/>
  <c r="X43" i="3"/>
  <c r="W43" i="3"/>
  <c r="V43" i="3"/>
  <c r="Q43" i="3"/>
  <c r="I43" i="3"/>
  <c r="G56" i="2"/>
  <c r="X84" i="3"/>
  <c r="W84" i="3"/>
  <c r="R84" i="3"/>
  <c r="O84" i="3"/>
  <c r="I84" i="3"/>
  <c r="Y84" i="3"/>
  <c r="V84" i="3"/>
  <c r="U84" i="3"/>
  <c r="Q84" i="3"/>
  <c r="P84" i="3"/>
  <c r="N84" i="3"/>
  <c r="M84" i="3"/>
  <c r="L84" i="3"/>
  <c r="G84" i="3"/>
  <c r="F84" i="3"/>
  <c r="Y84" i="2"/>
  <c r="T83" i="2" s="1"/>
  <c r="Z84" i="3"/>
  <c r="T84" i="3"/>
  <c r="S84" i="3"/>
  <c r="H84" i="2"/>
  <c r="K84" i="3"/>
  <c r="J84" i="3"/>
  <c r="H84" i="3"/>
  <c r="Z97" i="3"/>
  <c r="F97" i="3"/>
  <c r="T97" i="3"/>
  <c r="X97" i="3"/>
  <c r="S97" i="3"/>
  <c r="R97" i="3"/>
  <c r="O97" i="3"/>
  <c r="M97" i="3"/>
  <c r="K97" i="3"/>
  <c r="I97" i="3"/>
  <c r="Q97" i="3"/>
  <c r="P97" i="3"/>
  <c r="N97" i="3"/>
  <c r="H97" i="3"/>
  <c r="G97" i="3"/>
  <c r="Y97" i="3"/>
  <c r="W97" i="3"/>
  <c r="Y97" i="2"/>
  <c r="R125" i="3"/>
  <c r="L125" i="3"/>
  <c r="Q125" i="3"/>
  <c r="P125" i="3"/>
  <c r="M125" i="3"/>
  <c r="K125" i="3"/>
  <c r="J125" i="3"/>
  <c r="H125" i="3"/>
  <c r="F125" i="3"/>
  <c r="Z125" i="3"/>
  <c r="Y125" i="3"/>
  <c r="X125" i="3"/>
  <c r="U125" i="3"/>
  <c r="T125" i="3"/>
  <c r="V125" i="3"/>
  <c r="G125" i="3"/>
  <c r="W125" i="3"/>
  <c r="S125" i="3"/>
  <c r="O125" i="3"/>
  <c r="N125" i="3"/>
  <c r="I125" i="3"/>
  <c r="G125" i="2"/>
  <c r="V35" i="3"/>
  <c r="V40" i="3"/>
  <c r="P43" i="3"/>
  <c r="Q18" i="3"/>
  <c r="P18" i="3"/>
  <c r="O18" i="3"/>
  <c r="T18" i="3"/>
  <c r="S18" i="3"/>
  <c r="R18" i="3"/>
  <c r="N18" i="3"/>
  <c r="M18" i="3"/>
  <c r="L18" i="3"/>
  <c r="K18" i="3"/>
  <c r="J18" i="3"/>
  <c r="I18" i="3"/>
  <c r="H18" i="3"/>
  <c r="G18" i="3"/>
  <c r="F18" i="3"/>
  <c r="U18" i="3"/>
  <c r="O25" i="3"/>
  <c r="N25" i="3"/>
  <c r="M25" i="3"/>
  <c r="W25" i="3"/>
  <c r="V25" i="3"/>
  <c r="U25" i="3"/>
  <c r="T25" i="3"/>
  <c r="S25" i="3"/>
  <c r="R25" i="3"/>
  <c r="Q25" i="3"/>
  <c r="P25" i="3"/>
  <c r="L25" i="3"/>
  <c r="K25" i="3"/>
  <c r="J25" i="3"/>
  <c r="I25" i="3"/>
  <c r="G25" i="3"/>
  <c r="X25" i="3"/>
  <c r="Y30" i="3"/>
  <c r="X30" i="3"/>
  <c r="W30" i="3"/>
  <c r="S30" i="3"/>
  <c r="Q30" i="3"/>
  <c r="K30" i="3"/>
  <c r="J30" i="3"/>
  <c r="I30" i="3"/>
  <c r="H30" i="3"/>
  <c r="G30" i="3"/>
  <c r="F30" i="3"/>
  <c r="Z30" i="3"/>
  <c r="V30" i="3"/>
  <c r="T30" i="3"/>
  <c r="L30" i="3"/>
  <c r="G38" i="2"/>
  <c r="N70" i="3"/>
  <c r="T70" i="3"/>
  <c r="W70" i="3"/>
  <c r="V70" i="3"/>
  <c r="Q70" i="3"/>
  <c r="P70" i="3"/>
  <c r="M70" i="3"/>
  <c r="Z70" i="3"/>
  <c r="Y70" i="3"/>
  <c r="U70" i="3"/>
  <c r="S70" i="3"/>
  <c r="R70" i="3"/>
  <c r="O70" i="3"/>
  <c r="L70" i="3"/>
  <c r="K70" i="3"/>
  <c r="J70" i="3"/>
  <c r="Y70" i="2"/>
  <c r="T69" i="2" s="1"/>
  <c r="N69" i="3" s="1"/>
  <c r="X70" i="3"/>
  <c r="I70" i="3"/>
  <c r="H70" i="2"/>
  <c r="H70" i="3"/>
  <c r="G70" i="3"/>
  <c r="F70" i="3"/>
  <c r="M80" i="3"/>
  <c r="K80" i="3"/>
  <c r="I80" i="3"/>
  <c r="G80" i="2"/>
  <c r="J95" i="2"/>
  <c r="J96" i="2"/>
  <c r="D96" i="3" s="1"/>
  <c r="V108" i="2"/>
  <c r="I125" i="2"/>
  <c r="H125" i="2"/>
  <c r="H140" i="3"/>
  <c r="V140" i="3"/>
  <c r="W140" i="3"/>
  <c r="U140" i="3"/>
  <c r="R140" i="3"/>
  <c r="Q140" i="3"/>
  <c r="P140" i="3"/>
  <c r="O140" i="3"/>
  <c r="N140" i="3"/>
  <c r="M140" i="3"/>
  <c r="L140" i="3"/>
  <c r="J140" i="3"/>
  <c r="I140" i="3"/>
  <c r="G140" i="3"/>
  <c r="Z140" i="3"/>
  <c r="Y140" i="3"/>
  <c r="T140" i="3"/>
  <c r="S140" i="3"/>
  <c r="K140" i="3"/>
  <c r="F140" i="3"/>
  <c r="X140" i="3"/>
  <c r="H140" i="2"/>
  <c r="Z18" i="3"/>
  <c r="W35" i="3"/>
  <c r="X40" i="3"/>
  <c r="G76" i="2"/>
  <c r="Y81" i="2"/>
  <c r="T80" i="2" s="1"/>
  <c r="Q80" i="3" s="1"/>
  <c r="H90" i="3"/>
  <c r="O90" i="3"/>
  <c r="J90" i="3"/>
  <c r="F90" i="3"/>
  <c r="Y90" i="3"/>
  <c r="W90" i="3"/>
  <c r="U90" i="3"/>
  <c r="R90" i="3"/>
  <c r="L90" i="3"/>
  <c r="K90" i="3"/>
  <c r="I90" i="3"/>
  <c r="V90" i="3"/>
  <c r="Z90" i="3"/>
  <c r="X90" i="3"/>
  <c r="T90" i="3"/>
  <c r="Q90" i="3"/>
  <c r="P90" i="3"/>
  <c r="N90" i="3"/>
  <c r="M90" i="3"/>
  <c r="G90" i="3"/>
  <c r="S90" i="3"/>
  <c r="Y90" i="2"/>
  <c r="G110" i="2"/>
  <c r="E120" i="3"/>
  <c r="V120" i="2"/>
  <c r="K129" i="2"/>
  <c r="K128" i="2"/>
  <c r="H18" i="1" s="1"/>
  <c r="X35" i="3"/>
  <c r="K9" i="3"/>
  <c r="J9" i="3"/>
  <c r="I9" i="3"/>
  <c r="W9" i="3"/>
  <c r="V9" i="3"/>
  <c r="U9" i="3"/>
  <c r="T9" i="3"/>
  <c r="S9" i="3"/>
  <c r="R9" i="3"/>
  <c r="Q9" i="3"/>
  <c r="P9" i="3"/>
  <c r="O9" i="3"/>
  <c r="N9" i="3"/>
  <c r="M9" i="3"/>
  <c r="L9" i="3"/>
  <c r="G9" i="3"/>
  <c r="X9" i="3"/>
  <c r="Y13" i="2"/>
  <c r="I16" i="3"/>
  <c r="H16" i="3"/>
  <c r="G16" i="3"/>
  <c r="Z16" i="3"/>
  <c r="Y16" i="3"/>
  <c r="X16" i="3"/>
  <c r="W16" i="3"/>
  <c r="V16" i="3"/>
  <c r="U16" i="3"/>
  <c r="T16" i="3"/>
  <c r="S16" i="3"/>
  <c r="R16" i="3"/>
  <c r="Q16" i="3"/>
  <c r="P16" i="3"/>
  <c r="O16" i="3"/>
  <c r="M16" i="3"/>
  <c r="V18" i="2"/>
  <c r="M15" i="2" s="1"/>
  <c r="V25" i="2"/>
  <c r="G28" i="2"/>
  <c r="K33" i="3"/>
  <c r="I33" i="3"/>
  <c r="H33" i="3"/>
  <c r="G33" i="3"/>
  <c r="X33" i="3"/>
  <c r="V33" i="3"/>
  <c r="N33" i="3"/>
  <c r="M33" i="3"/>
  <c r="Y33" i="2"/>
  <c r="T31" i="2" s="1"/>
  <c r="L33" i="3"/>
  <c r="J33" i="3"/>
  <c r="F33" i="3"/>
  <c r="H33" i="2"/>
  <c r="Z33" i="3"/>
  <c r="Y33" i="3"/>
  <c r="U33" i="3"/>
  <c r="O33" i="3"/>
  <c r="Y35" i="2"/>
  <c r="T34" i="2" s="1"/>
  <c r="Y40" i="2"/>
  <c r="T38" i="2" s="1"/>
  <c r="M46" i="3"/>
  <c r="F46" i="3"/>
  <c r="Z46" i="3"/>
  <c r="Y46" i="3"/>
  <c r="X46" i="3"/>
  <c r="U46" i="3"/>
  <c r="T46" i="3"/>
  <c r="S46" i="3"/>
  <c r="K46" i="3"/>
  <c r="J46" i="3"/>
  <c r="I46" i="3"/>
  <c r="H46" i="3"/>
  <c r="J56" i="2"/>
  <c r="Y67" i="2"/>
  <c r="T66" i="2" s="1"/>
  <c r="Y66" i="3" s="1"/>
  <c r="V70" i="2"/>
  <c r="M69" i="2" s="1"/>
  <c r="F71" i="2"/>
  <c r="V101" i="3"/>
  <c r="P101" i="3"/>
  <c r="G101" i="3"/>
  <c r="Y101" i="3"/>
  <c r="X101" i="3"/>
  <c r="T101" i="3"/>
  <c r="R101" i="3"/>
  <c r="O101" i="3"/>
  <c r="M101" i="3"/>
  <c r="J101" i="3"/>
  <c r="I101" i="3"/>
  <c r="H101" i="3"/>
  <c r="F101" i="3"/>
  <c r="W101" i="3"/>
  <c r="Z101" i="3"/>
  <c r="U101" i="3"/>
  <c r="S101" i="3"/>
  <c r="Q101" i="3"/>
  <c r="N101" i="3"/>
  <c r="L101" i="3"/>
  <c r="H101" i="2"/>
  <c r="V140" i="2"/>
  <c r="E8" i="3"/>
  <c r="Q14" i="3"/>
  <c r="S33" i="3"/>
  <c r="Y35" i="3"/>
  <c r="E115" i="3"/>
  <c r="Z48" i="3"/>
  <c r="L48" i="3"/>
  <c r="K48" i="3"/>
  <c r="X48" i="3"/>
  <c r="Q48" i="3"/>
  <c r="V11" i="2"/>
  <c r="M10" i="2" s="1"/>
  <c r="J15" i="2"/>
  <c r="D15" i="3" s="1"/>
  <c r="K56" i="2"/>
  <c r="H14" i="1" s="1"/>
  <c r="E62" i="3"/>
  <c r="V62" i="2"/>
  <c r="G96" i="2"/>
  <c r="Y108" i="2"/>
  <c r="X134" i="3"/>
  <c r="R134" i="3"/>
  <c r="Y134" i="3"/>
  <c r="W134" i="3"/>
  <c r="T134" i="3"/>
  <c r="S134" i="3"/>
  <c r="Q134" i="3"/>
  <c r="P134" i="3"/>
  <c r="O134" i="3"/>
  <c r="N134" i="3"/>
  <c r="M134" i="3"/>
  <c r="K134" i="3"/>
  <c r="J134" i="3"/>
  <c r="I134" i="3"/>
  <c r="F134" i="3"/>
  <c r="U134" i="3"/>
  <c r="L134" i="3"/>
  <c r="H134" i="3"/>
  <c r="G134" i="3"/>
  <c r="V134" i="3"/>
  <c r="Z134" i="3"/>
  <c r="G134" i="2"/>
  <c r="W7" i="3"/>
  <c r="V7" i="3"/>
  <c r="G7" i="3"/>
  <c r="F7" i="3"/>
  <c r="Z7" i="3"/>
  <c r="Y7" i="3"/>
  <c r="X7" i="3"/>
  <c r="U7" i="3"/>
  <c r="T7" i="3"/>
  <c r="S7" i="3"/>
  <c r="R7" i="3"/>
  <c r="Q7" i="3"/>
  <c r="P7" i="3"/>
  <c r="N7" i="3"/>
  <c r="H7" i="3"/>
  <c r="V9" i="2"/>
  <c r="Y11" i="2"/>
  <c r="V33" i="2"/>
  <c r="Y43" i="2"/>
  <c r="E51" i="3"/>
  <c r="V51" i="2"/>
  <c r="V62" i="3"/>
  <c r="Q62" i="3"/>
  <c r="L62" i="3"/>
  <c r="M62" i="3"/>
  <c r="K62" i="3"/>
  <c r="J62" i="3"/>
  <c r="I62" i="3"/>
  <c r="H62" i="3"/>
  <c r="F62" i="3"/>
  <c r="Z62" i="3"/>
  <c r="Y62" i="3"/>
  <c r="X62" i="3"/>
  <c r="W62" i="3"/>
  <c r="U62" i="3"/>
  <c r="T62" i="3"/>
  <c r="R62" i="3"/>
  <c r="X65" i="3"/>
  <c r="V65" i="3"/>
  <c r="U65" i="3"/>
  <c r="Q65" i="3"/>
  <c r="Z65" i="3"/>
  <c r="Y65" i="3"/>
  <c r="T65" i="3"/>
  <c r="S65" i="3"/>
  <c r="R65" i="3"/>
  <c r="P65" i="3"/>
  <c r="O65" i="3"/>
  <c r="N65" i="3"/>
  <c r="M65" i="3"/>
  <c r="G65" i="3"/>
  <c r="F65" i="3"/>
  <c r="H65" i="3"/>
  <c r="E88" i="3"/>
  <c r="V88" i="2"/>
  <c r="X94" i="3"/>
  <c r="N94" i="3"/>
  <c r="I94" i="3"/>
  <c r="F94" i="3"/>
  <c r="Y94" i="3"/>
  <c r="V94" i="3"/>
  <c r="T94" i="3"/>
  <c r="Q94" i="3"/>
  <c r="Z94" i="3"/>
  <c r="W94" i="3"/>
  <c r="R94" i="3"/>
  <c r="P94" i="3"/>
  <c r="O94" i="3"/>
  <c r="M94" i="3"/>
  <c r="L94" i="3"/>
  <c r="G94" i="3"/>
  <c r="U94" i="3"/>
  <c r="S94" i="3"/>
  <c r="K94" i="3"/>
  <c r="H94" i="3"/>
  <c r="H94" i="2"/>
  <c r="V101" i="2"/>
  <c r="E106" i="3"/>
  <c r="V106" i="2"/>
  <c r="V131" i="3"/>
  <c r="P131" i="3"/>
  <c r="N131" i="3"/>
  <c r="M131" i="3"/>
  <c r="J131" i="3"/>
  <c r="I131" i="3"/>
  <c r="H131" i="3"/>
  <c r="F131" i="3"/>
  <c r="Z131" i="3"/>
  <c r="X131" i="3"/>
  <c r="W131" i="3"/>
  <c r="U131" i="3"/>
  <c r="R131" i="3"/>
  <c r="Q131" i="3"/>
  <c r="Y131" i="3"/>
  <c r="T131" i="3"/>
  <c r="S131" i="3"/>
  <c r="L131" i="3"/>
  <c r="G131" i="3"/>
  <c r="Y131" i="2"/>
  <c r="O131" i="3"/>
  <c r="G8" i="3"/>
  <c r="F25" i="3"/>
  <c r="W33" i="3"/>
  <c r="R44" i="3"/>
  <c r="P62" i="3"/>
  <c r="J97" i="3"/>
  <c r="Y18" i="2"/>
  <c r="S21" i="3"/>
  <c r="R21" i="3"/>
  <c r="Q21" i="3"/>
  <c r="J21" i="3"/>
  <c r="I21" i="3"/>
  <c r="H21" i="3"/>
  <c r="G21" i="3"/>
  <c r="F21" i="3"/>
  <c r="Z21" i="3"/>
  <c r="Y21" i="3"/>
  <c r="X21" i="3"/>
  <c r="W21" i="3"/>
  <c r="V21" i="3"/>
  <c r="T21" i="3"/>
  <c r="K21" i="3"/>
  <c r="Y25" i="2"/>
  <c r="Y30" i="2"/>
  <c r="M36" i="3"/>
  <c r="P36" i="3"/>
  <c r="O36" i="3"/>
  <c r="N36" i="3"/>
  <c r="L36" i="3"/>
  <c r="I36" i="3"/>
  <c r="G36" i="3"/>
  <c r="T36" i="3"/>
  <c r="S36" i="3"/>
  <c r="R36" i="3"/>
  <c r="H36" i="2"/>
  <c r="Q36" i="3"/>
  <c r="K36" i="3"/>
  <c r="J36" i="3"/>
  <c r="H36" i="3"/>
  <c r="F36" i="3"/>
  <c r="U36" i="3"/>
  <c r="W51" i="3"/>
  <c r="U51" i="3"/>
  <c r="T51" i="3"/>
  <c r="S51" i="3"/>
  <c r="R51" i="3"/>
  <c r="Q51" i="3"/>
  <c r="O51" i="3"/>
  <c r="N51" i="3"/>
  <c r="M51" i="3"/>
  <c r="L51" i="3"/>
  <c r="K51" i="3"/>
  <c r="J51" i="3"/>
  <c r="F51" i="3"/>
  <c r="Y51" i="3"/>
  <c r="G51" i="3"/>
  <c r="E54" i="3"/>
  <c r="V54" i="2"/>
  <c r="V68" i="2"/>
  <c r="M66" i="2" s="1"/>
  <c r="E68" i="3"/>
  <c r="T88" i="3"/>
  <c r="Y88" i="3"/>
  <c r="S88" i="3"/>
  <c r="P88" i="3"/>
  <c r="N88" i="3"/>
  <c r="L88" i="3"/>
  <c r="J88" i="3"/>
  <c r="G88" i="3"/>
  <c r="Z88" i="3"/>
  <c r="X88" i="3"/>
  <c r="W88" i="3"/>
  <c r="V88" i="3"/>
  <c r="O88" i="3"/>
  <c r="U88" i="3"/>
  <c r="R88" i="3"/>
  <c r="Q88" i="3"/>
  <c r="M88" i="3"/>
  <c r="Y88" i="2"/>
  <c r="F88" i="3"/>
  <c r="L106" i="3"/>
  <c r="Z106" i="3"/>
  <c r="F106" i="3"/>
  <c r="I106" i="3"/>
  <c r="Y106" i="3"/>
  <c r="V106" i="3"/>
  <c r="T106" i="3"/>
  <c r="R106" i="3"/>
  <c r="P106" i="3"/>
  <c r="M106" i="3"/>
  <c r="N106" i="3"/>
  <c r="K106" i="3"/>
  <c r="J106" i="3"/>
  <c r="U106" i="3"/>
  <c r="S106" i="3"/>
  <c r="Q106" i="3"/>
  <c r="O106" i="3"/>
  <c r="H106" i="3"/>
  <c r="G106" i="3"/>
  <c r="W106" i="3"/>
  <c r="X106" i="3"/>
  <c r="Y106" i="2"/>
  <c r="Y140" i="2"/>
  <c r="H8" i="3"/>
  <c r="S19" i="3"/>
  <c r="M21" i="3"/>
  <c r="H25" i="3"/>
  <c r="S44" i="3"/>
  <c r="E47" i="3"/>
  <c r="S62" i="3"/>
  <c r="L97" i="3"/>
  <c r="K131" i="3"/>
  <c r="F5" i="2"/>
  <c r="V7" i="2"/>
  <c r="U14" i="3"/>
  <c r="T14" i="3"/>
  <c r="S14" i="3"/>
  <c r="I14" i="3"/>
  <c r="H14" i="3"/>
  <c r="G14" i="3"/>
  <c r="F14" i="3"/>
  <c r="Z14" i="3"/>
  <c r="Y14" i="3"/>
  <c r="X14" i="3"/>
  <c r="W14" i="3"/>
  <c r="V14" i="3"/>
  <c r="R14" i="3"/>
  <c r="P14" i="3"/>
  <c r="J14" i="3"/>
  <c r="H39" i="2"/>
  <c r="Y54" i="3"/>
  <c r="G54" i="3"/>
  <c r="F54" i="3"/>
  <c r="Z54" i="3"/>
  <c r="X54" i="3"/>
  <c r="W54" i="3"/>
  <c r="U54" i="3"/>
  <c r="T54" i="3"/>
  <c r="S54" i="3"/>
  <c r="R54" i="3"/>
  <c r="Q54" i="3"/>
  <c r="P54" i="3"/>
  <c r="I54" i="3"/>
  <c r="H54" i="3"/>
  <c r="V54" i="3"/>
  <c r="J54" i="3"/>
  <c r="V65" i="2"/>
  <c r="R85" i="3"/>
  <c r="S85" i="3"/>
  <c r="M85" i="3"/>
  <c r="J85" i="3"/>
  <c r="Y85" i="3"/>
  <c r="V85" i="3"/>
  <c r="X85" i="3"/>
  <c r="W85" i="3"/>
  <c r="U85" i="3"/>
  <c r="P85" i="3"/>
  <c r="O85" i="3"/>
  <c r="N85" i="3"/>
  <c r="L85" i="3"/>
  <c r="K85" i="3"/>
  <c r="F85" i="3"/>
  <c r="Z85" i="3"/>
  <c r="T85" i="3"/>
  <c r="I85" i="3"/>
  <c r="H85" i="3"/>
  <c r="G85" i="3"/>
  <c r="Q85" i="3"/>
  <c r="V94" i="2"/>
  <c r="J105" i="2"/>
  <c r="D105" i="3" s="1"/>
  <c r="J104" i="2"/>
  <c r="V131" i="2"/>
  <c r="E138" i="3"/>
  <c r="V138" i="2"/>
  <c r="I8" i="3"/>
  <c r="E17" i="3"/>
  <c r="T19" i="3"/>
  <c r="N21" i="3"/>
  <c r="Y25" i="3"/>
  <c r="F47" i="3"/>
  <c r="U97" i="3"/>
  <c r="Y9" i="2"/>
  <c r="Y16" i="2"/>
  <c r="H19" i="2"/>
  <c r="T28" i="2"/>
  <c r="Q28" i="3" s="1"/>
  <c r="J41" i="2"/>
  <c r="Y44" i="3"/>
  <c r="P44" i="3"/>
  <c r="O44" i="3"/>
  <c r="N44" i="3"/>
  <c r="M44" i="3"/>
  <c r="J44" i="3"/>
  <c r="I44" i="3"/>
  <c r="H44" i="3"/>
  <c r="G44" i="3"/>
  <c r="F44" i="3"/>
  <c r="L44" i="3"/>
  <c r="K44" i="3"/>
  <c r="Z44" i="3"/>
  <c r="W44" i="3"/>
  <c r="H44" i="2"/>
  <c r="Q44" i="3"/>
  <c r="Q60" i="3"/>
  <c r="O60" i="3"/>
  <c r="N60" i="3"/>
  <c r="M60" i="3"/>
  <c r="X74" i="3"/>
  <c r="L74" i="3"/>
  <c r="G74" i="3"/>
  <c r="R74" i="3"/>
  <c r="K74" i="3"/>
  <c r="J74" i="3"/>
  <c r="Z74" i="3"/>
  <c r="Y74" i="3"/>
  <c r="O74" i="3"/>
  <c r="N74" i="3"/>
  <c r="M74" i="3"/>
  <c r="I74" i="3"/>
  <c r="H74" i="3"/>
  <c r="W74" i="3"/>
  <c r="V74" i="3"/>
  <c r="U74" i="3"/>
  <c r="T74" i="3"/>
  <c r="S74" i="3"/>
  <c r="Y74" i="2"/>
  <c r="Q74" i="3"/>
  <c r="P74" i="3"/>
  <c r="F74" i="3"/>
  <c r="E99" i="3"/>
  <c r="V99" i="2"/>
  <c r="Y101" i="2"/>
  <c r="K105" i="2"/>
  <c r="K104" i="2"/>
  <c r="H17" i="1" s="1"/>
  <c r="T138" i="3"/>
  <c r="N138" i="3"/>
  <c r="I138" i="3"/>
  <c r="H138" i="3"/>
  <c r="Z138" i="3"/>
  <c r="Y138" i="3"/>
  <c r="X138" i="3"/>
  <c r="W138" i="3"/>
  <c r="V138" i="3"/>
  <c r="U138" i="3"/>
  <c r="R138" i="3"/>
  <c r="Q138" i="3"/>
  <c r="P138" i="3"/>
  <c r="L138" i="3"/>
  <c r="K138" i="3"/>
  <c r="O138" i="3"/>
  <c r="M138" i="3"/>
  <c r="J138" i="3"/>
  <c r="G138" i="3"/>
  <c r="S138" i="3"/>
  <c r="F138" i="3"/>
  <c r="Y138" i="2"/>
  <c r="O13" i="3"/>
  <c r="F17" i="3"/>
  <c r="U19" i="3"/>
  <c r="O21" i="3"/>
  <c r="Z25" i="3"/>
  <c r="V36" i="3"/>
  <c r="U44" i="3"/>
  <c r="H47" i="3"/>
  <c r="G50" i="3"/>
  <c r="V97" i="3"/>
  <c r="G18" i="1"/>
  <c r="M12" i="3"/>
  <c r="L12" i="3"/>
  <c r="K12" i="3"/>
  <c r="P12" i="3"/>
  <c r="O12" i="3"/>
  <c r="N12" i="3"/>
  <c r="J12" i="3"/>
  <c r="I12" i="3"/>
  <c r="H12" i="3"/>
  <c r="G12" i="3"/>
  <c r="F12" i="3"/>
  <c r="Z12" i="3"/>
  <c r="Y12" i="3"/>
  <c r="W12" i="3"/>
  <c r="Q12" i="3"/>
  <c r="O39" i="3"/>
  <c r="U39" i="3"/>
  <c r="T39" i="3"/>
  <c r="S39" i="3"/>
  <c r="R39" i="3"/>
  <c r="N39" i="3"/>
  <c r="M39" i="3"/>
  <c r="L39" i="3"/>
  <c r="K39" i="3"/>
  <c r="J39" i="3"/>
  <c r="Z39" i="3"/>
  <c r="Y39" i="3"/>
  <c r="X39" i="3"/>
  <c r="W39" i="3"/>
  <c r="V39" i="3"/>
  <c r="Q39" i="3"/>
  <c r="I39" i="3"/>
  <c r="K71" i="2"/>
  <c r="H15" i="1" s="1"/>
  <c r="N99" i="3"/>
  <c r="H99" i="3"/>
  <c r="Q99" i="3"/>
  <c r="L99" i="3"/>
  <c r="K99" i="3"/>
  <c r="G99" i="3"/>
  <c r="Y99" i="3"/>
  <c r="W99" i="3"/>
  <c r="T99" i="3"/>
  <c r="X99" i="3"/>
  <c r="V99" i="3"/>
  <c r="U99" i="3"/>
  <c r="S99" i="3"/>
  <c r="R99" i="3"/>
  <c r="J99" i="3"/>
  <c r="Z99" i="3"/>
  <c r="P99" i="3"/>
  <c r="O99" i="3"/>
  <c r="M99" i="3"/>
  <c r="I99" i="3"/>
  <c r="F99" i="3"/>
  <c r="G102" i="2"/>
  <c r="R115" i="3"/>
  <c r="L115" i="3"/>
  <c r="O115" i="3"/>
  <c r="J115" i="3"/>
  <c r="I115" i="3"/>
  <c r="F115" i="3"/>
  <c r="Z115" i="3"/>
  <c r="X115" i="3"/>
  <c r="V115" i="3"/>
  <c r="S115" i="3"/>
  <c r="Q115" i="3"/>
  <c r="Y115" i="3"/>
  <c r="W115" i="3"/>
  <c r="U115" i="3"/>
  <c r="N115" i="3"/>
  <c r="M115" i="3"/>
  <c r="K115" i="3"/>
  <c r="H115" i="3"/>
  <c r="G115" i="3"/>
  <c r="Y115" i="2"/>
  <c r="P115" i="3"/>
  <c r="X124" i="3"/>
  <c r="R124" i="3"/>
  <c r="U124" i="3"/>
  <c r="T124" i="3"/>
  <c r="P124" i="3"/>
  <c r="O124" i="3"/>
  <c r="N124" i="3"/>
  <c r="L124" i="3"/>
  <c r="J124" i="3"/>
  <c r="H124" i="3"/>
  <c r="G124" i="3"/>
  <c r="F124" i="3"/>
  <c r="Y124" i="3"/>
  <c r="W124" i="3"/>
  <c r="S124" i="3"/>
  <c r="Q124" i="3"/>
  <c r="M124" i="3"/>
  <c r="K124" i="3"/>
  <c r="I124" i="3"/>
  <c r="Z124" i="3"/>
  <c r="V124" i="3"/>
  <c r="Y124" i="2"/>
  <c r="J136" i="2"/>
  <c r="D136" i="3" s="1"/>
  <c r="U11" i="3"/>
  <c r="P13" i="3"/>
  <c r="H17" i="3"/>
  <c r="P21" i="3"/>
  <c r="W36" i="3"/>
  <c r="G39" i="3"/>
  <c r="V44" i="3"/>
  <c r="I47" i="3"/>
  <c r="J50" i="3"/>
  <c r="E81" i="3"/>
  <c r="H17" i="2"/>
  <c r="K19" i="3"/>
  <c r="J19" i="3"/>
  <c r="I19" i="3"/>
  <c r="Q19" i="3"/>
  <c r="P19" i="3"/>
  <c r="O19" i="3"/>
  <c r="N19" i="3"/>
  <c r="M19" i="3"/>
  <c r="L19" i="3"/>
  <c r="H19" i="3"/>
  <c r="G19" i="3"/>
  <c r="F19" i="3"/>
  <c r="Z19" i="3"/>
  <c r="X19" i="3"/>
  <c r="R19" i="3"/>
  <c r="F20" i="2"/>
  <c r="I26" i="3"/>
  <c r="H26" i="3"/>
  <c r="G26" i="3"/>
  <c r="T26" i="3"/>
  <c r="S26" i="3"/>
  <c r="Y26" i="2"/>
  <c r="R26" i="3"/>
  <c r="Q26" i="3"/>
  <c r="P26" i="3"/>
  <c r="O26" i="3"/>
  <c r="N26" i="3"/>
  <c r="M26" i="3"/>
  <c r="L26" i="3"/>
  <c r="K26" i="3"/>
  <c r="J26" i="3"/>
  <c r="F26" i="3"/>
  <c r="U26" i="3"/>
  <c r="J38" i="2"/>
  <c r="D38" i="3" s="1"/>
  <c r="R66" i="3"/>
  <c r="Q66" i="3"/>
  <c r="P66" i="3"/>
  <c r="L66" i="3"/>
  <c r="Z66" i="3"/>
  <c r="G66" i="2"/>
  <c r="I66" i="3"/>
  <c r="H66" i="3"/>
  <c r="G66" i="3"/>
  <c r="F66" i="3"/>
  <c r="Z77" i="3"/>
  <c r="F77" i="3"/>
  <c r="R77" i="3"/>
  <c r="M77" i="3"/>
  <c r="J77" i="3"/>
  <c r="X77" i="3"/>
  <c r="W77" i="3"/>
  <c r="V77" i="3"/>
  <c r="U77" i="3"/>
  <c r="T77" i="3"/>
  <c r="S77" i="3"/>
  <c r="Y77" i="3"/>
  <c r="Q77" i="3"/>
  <c r="P77" i="3"/>
  <c r="O77" i="3"/>
  <c r="N77" i="3"/>
  <c r="L77" i="3"/>
  <c r="K77" i="3"/>
  <c r="Y77" i="2"/>
  <c r="T76" i="2" s="1"/>
  <c r="S76" i="3" s="1"/>
  <c r="I77" i="3"/>
  <c r="H77" i="3"/>
  <c r="G77" i="3"/>
  <c r="H77" i="2"/>
  <c r="E92" i="3"/>
  <c r="V92" i="2"/>
  <c r="J98" i="2"/>
  <c r="D98" i="3" s="1"/>
  <c r="K136" i="2"/>
  <c r="V11" i="3"/>
  <c r="Q13" i="3"/>
  <c r="Y17" i="3"/>
  <c r="W19" i="3"/>
  <c r="U21" i="3"/>
  <c r="R32" i="3"/>
  <c r="X36" i="3"/>
  <c r="H39" i="3"/>
  <c r="X44" i="3"/>
  <c r="K47" i="3"/>
  <c r="G77" i="1"/>
  <c r="M48" i="2"/>
  <c r="X72" i="3"/>
  <c r="T72" i="3"/>
  <c r="S72" i="3"/>
  <c r="J76" i="2"/>
  <c r="D76" i="3" s="1"/>
  <c r="P92" i="3"/>
  <c r="Y92" i="3"/>
  <c r="T92" i="3"/>
  <c r="Q92" i="3"/>
  <c r="N92" i="3"/>
  <c r="L92" i="3"/>
  <c r="J92" i="3"/>
  <c r="G92" i="3"/>
  <c r="U92" i="3"/>
  <c r="S92" i="3"/>
  <c r="R92" i="3"/>
  <c r="K92" i="3"/>
  <c r="I92" i="3"/>
  <c r="H92" i="3"/>
  <c r="F92" i="3"/>
  <c r="Z92" i="3"/>
  <c r="X92" i="3"/>
  <c r="W92" i="3"/>
  <c r="V92" i="3"/>
  <c r="M92" i="3"/>
  <c r="O92" i="3"/>
  <c r="F95" i="2"/>
  <c r="F117" i="2"/>
  <c r="W11" i="3"/>
  <c r="R13" i="3"/>
  <c r="Y19" i="3"/>
  <c r="M30" i="3"/>
  <c r="S32" i="3"/>
  <c r="Y36" i="3"/>
  <c r="P39" i="3"/>
  <c r="W17" i="3"/>
  <c r="V17" i="3"/>
  <c r="U17" i="3"/>
  <c r="T17" i="3"/>
  <c r="S17" i="3"/>
  <c r="R17" i="3"/>
  <c r="Q17" i="3"/>
  <c r="P17" i="3"/>
  <c r="O17" i="3"/>
  <c r="N17" i="3"/>
  <c r="M17" i="3"/>
  <c r="L17" i="3"/>
  <c r="K17" i="3"/>
  <c r="J17" i="3"/>
  <c r="I17" i="3"/>
  <c r="G17" i="3"/>
  <c r="X17" i="3"/>
  <c r="U24" i="3"/>
  <c r="T24" i="3"/>
  <c r="S24" i="3"/>
  <c r="Z24" i="3"/>
  <c r="Y24" i="3"/>
  <c r="X24" i="3"/>
  <c r="W24" i="3"/>
  <c r="V24" i="3"/>
  <c r="R24" i="3"/>
  <c r="Q24" i="3"/>
  <c r="P24" i="3"/>
  <c r="O24" i="3"/>
  <c r="N24" i="3"/>
  <c r="M24" i="3"/>
  <c r="L24" i="3"/>
  <c r="J24" i="3"/>
  <c r="Q69" i="3"/>
  <c r="P69" i="3"/>
  <c r="O69" i="3"/>
  <c r="G72" i="2"/>
  <c r="J80" i="2"/>
  <c r="D80" i="3" s="1"/>
  <c r="X11" i="3"/>
  <c r="S13" i="3"/>
  <c r="N30" i="3"/>
  <c r="T32" i="3"/>
  <c r="Z36" i="3"/>
  <c r="Y60" i="3"/>
  <c r="J78" i="3"/>
  <c r="G64" i="1"/>
  <c r="J28" i="2"/>
  <c r="D28" i="3" s="1"/>
  <c r="G47" i="3"/>
  <c r="V47" i="3"/>
  <c r="U47" i="3"/>
  <c r="T47" i="3"/>
  <c r="S47" i="3"/>
  <c r="P47" i="3"/>
  <c r="O47" i="3"/>
  <c r="N47" i="3"/>
  <c r="M47" i="3"/>
  <c r="L47" i="3"/>
  <c r="Z47" i="3"/>
  <c r="Y47" i="3"/>
  <c r="X47" i="3"/>
  <c r="W47" i="3"/>
  <c r="R47" i="3"/>
  <c r="Q47" i="3"/>
  <c r="J47" i="3"/>
  <c r="E58" i="3"/>
  <c r="V58" i="2"/>
  <c r="T98" i="2"/>
  <c r="J98" i="3" s="1"/>
  <c r="E113" i="3"/>
  <c r="V113" i="2"/>
  <c r="I7" i="3"/>
  <c r="Y11" i="3"/>
  <c r="U13" i="3"/>
  <c r="O30" i="3"/>
  <c r="U32" i="3"/>
  <c r="K54" i="3"/>
  <c r="H67" i="3"/>
  <c r="K78" i="3"/>
  <c r="J94" i="3"/>
  <c r="Q8" i="3"/>
  <c r="P8" i="3"/>
  <c r="O8" i="3"/>
  <c r="Z8" i="3"/>
  <c r="Y8" i="3"/>
  <c r="X8" i="3"/>
  <c r="W8" i="3"/>
  <c r="V8" i="3"/>
  <c r="U8" i="3"/>
  <c r="T8" i="3"/>
  <c r="S8" i="3"/>
  <c r="R8" i="3"/>
  <c r="N8" i="3"/>
  <c r="M8" i="3"/>
  <c r="L8" i="3"/>
  <c r="J8" i="3"/>
  <c r="G15" i="2"/>
  <c r="V24" i="2"/>
  <c r="M23" i="2" s="1"/>
  <c r="V29" i="2"/>
  <c r="G37" i="3"/>
  <c r="K37" i="3"/>
  <c r="J37" i="3"/>
  <c r="I37" i="3"/>
  <c r="H37" i="3"/>
  <c r="Y37" i="3"/>
  <c r="X37" i="3"/>
  <c r="W37" i="3"/>
  <c r="V37" i="3"/>
  <c r="S37" i="3"/>
  <c r="R37" i="3"/>
  <c r="Q37" i="3"/>
  <c r="P37" i="3"/>
  <c r="O37" i="3"/>
  <c r="N37" i="3"/>
  <c r="M37" i="3"/>
  <c r="L37" i="3"/>
  <c r="F37" i="3"/>
  <c r="H37" i="2"/>
  <c r="T37" i="3"/>
  <c r="E55" i="3"/>
  <c r="V55" i="2"/>
  <c r="U58" i="3"/>
  <c r="P58" i="3"/>
  <c r="G58" i="3"/>
  <c r="F58" i="3"/>
  <c r="Z58" i="3"/>
  <c r="Y58" i="3"/>
  <c r="W58" i="3"/>
  <c r="V58" i="3"/>
  <c r="T58" i="3"/>
  <c r="S58" i="3"/>
  <c r="R58" i="3"/>
  <c r="Q58" i="3"/>
  <c r="X58" i="3"/>
  <c r="O58" i="3"/>
  <c r="N58" i="3"/>
  <c r="M58" i="3"/>
  <c r="L58" i="3"/>
  <c r="K58" i="3"/>
  <c r="J58" i="3"/>
  <c r="I58" i="3"/>
  <c r="H58" i="3"/>
  <c r="T141" i="2"/>
  <c r="M141" i="3" s="1"/>
  <c r="J7" i="3"/>
  <c r="F9" i="3"/>
  <c r="V26" i="3"/>
  <c r="P30" i="3"/>
  <c r="V32" i="3"/>
  <c r="H51" i="3"/>
  <c r="L54" i="3"/>
  <c r="I67" i="3"/>
  <c r="L78" i="3"/>
  <c r="Y19" i="2"/>
  <c r="E32" i="3"/>
  <c r="V32" i="2"/>
  <c r="S55" i="3"/>
  <c r="W55" i="3"/>
  <c r="V55" i="3"/>
  <c r="U55" i="3"/>
  <c r="T55" i="3"/>
  <c r="R55" i="3"/>
  <c r="P55" i="3"/>
  <c r="O55" i="3"/>
  <c r="N55" i="3"/>
  <c r="M55" i="3"/>
  <c r="L55" i="3"/>
  <c r="K55" i="3"/>
  <c r="Y55" i="3"/>
  <c r="X55" i="3"/>
  <c r="Q55" i="3"/>
  <c r="J55" i="3"/>
  <c r="I55" i="3"/>
  <c r="H55" i="3"/>
  <c r="G55" i="3"/>
  <c r="F55" i="3"/>
  <c r="Z55" i="3"/>
  <c r="T72" i="2"/>
  <c r="U72" i="3" s="1"/>
  <c r="E75" i="3"/>
  <c r="V75" i="2"/>
  <c r="Y92" i="2"/>
  <c r="T91" i="2" s="1"/>
  <c r="J91" i="3" s="1"/>
  <c r="M96" i="2"/>
  <c r="I134" i="2"/>
  <c r="H134" i="2"/>
  <c r="K7" i="3"/>
  <c r="H9" i="3"/>
  <c r="F24" i="3"/>
  <c r="W26" i="3"/>
  <c r="R30" i="3"/>
  <c r="I51" i="3"/>
  <c r="M54" i="3"/>
  <c r="L64" i="3"/>
  <c r="J67" i="3"/>
  <c r="O78" i="3"/>
  <c r="H13" i="2"/>
  <c r="Q32" i="3"/>
  <c r="N32" i="3"/>
  <c r="M32" i="3"/>
  <c r="L32" i="3"/>
  <c r="H32" i="3"/>
  <c r="F32" i="3"/>
  <c r="O32" i="3"/>
  <c r="K32" i="3"/>
  <c r="J32" i="3"/>
  <c r="I32" i="3"/>
  <c r="G32" i="3"/>
  <c r="Z32" i="3"/>
  <c r="Y32" i="3"/>
  <c r="W32" i="3"/>
  <c r="P32" i="3"/>
  <c r="H35" i="2"/>
  <c r="V37" i="2"/>
  <c r="H40" i="2"/>
  <c r="M42" i="2"/>
  <c r="E61" i="3"/>
  <c r="V61" i="2"/>
  <c r="M60" i="2" s="1"/>
  <c r="H67" i="2"/>
  <c r="H100" i="3"/>
  <c r="V100" i="3"/>
  <c r="L100" i="3"/>
  <c r="G100" i="3"/>
  <c r="F100" i="3"/>
  <c r="Y100" i="3"/>
  <c r="W100" i="3"/>
  <c r="T100" i="3"/>
  <c r="R100" i="3"/>
  <c r="O100" i="3"/>
  <c r="Z100" i="3"/>
  <c r="X100" i="3"/>
  <c r="P100" i="3"/>
  <c r="U100" i="3"/>
  <c r="S100" i="3"/>
  <c r="Q100" i="3"/>
  <c r="N100" i="3"/>
  <c r="M100" i="3"/>
  <c r="K100" i="3"/>
  <c r="J100" i="3"/>
  <c r="I100" i="3"/>
  <c r="Y100" i="2"/>
  <c r="H100" i="2"/>
  <c r="G122" i="2"/>
  <c r="U136" i="3"/>
  <c r="E143" i="3"/>
  <c r="V143" i="2"/>
  <c r="L7" i="3"/>
  <c r="Y9" i="3"/>
  <c r="G24" i="3"/>
  <c r="X26" i="3"/>
  <c r="U30" i="3"/>
  <c r="R40" i="3"/>
  <c r="P51" i="3"/>
  <c r="N54" i="3"/>
  <c r="U67" i="3"/>
  <c r="Z87" i="3"/>
  <c r="F87" i="3"/>
  <c r="I87" i="3"/>
  <c r="X87" i="3"/>
  <c r="U87" i="3"/>
  <c r="S87" i="3"/>
  <c r="Q87" i="3"/>
  <c r="O87" i="3"/>
  <c r="L87" i="3"/>
  <c r="W87" i="3"/>
  <c r="V87" i="3"/>
  <c r="T87" i="3"/>
  <c r="R87" i="3"/>
  <c r="P87" i="3"/>
  <c r="J87" i="3"/>
  <c r="Y87" i="3"/>
  <c r="N87" i="3"/>
  <c r="M87" i="3"/>
  <c r="H87" i="3"/>
  <c r="G87" i="3"/>
  <c r="L126" i="3"/>
  <c r="Z126" i="3"/>
  <c r="F126" i="3"/>
  <c r="N126" i="3"/>
  <c r="M126" i="3"/>
  <c r="I126" i="3"/>
  <c r="H126" i="3"/>
  <c r="G126" i="3"/>
  <c r="Y126" i="3"/>
  <c r="X126" i="3"/>
  <c r="V126" i="3"/>
  <c r="U126" i="3"/>
  <c r="T126" i="3"/>
  <c r="Q126" i="3"/>
  <c r="P126" i="3"/>
  <c r="W126" i="3"/>
  <c r="S126" i="3"/>
  <c r="K126" i="3"/>
  <c r="J126" i="3"/>
  <c r="R126" i="3"/>
  <c r="O126" i="3"/>
  <c r="Y137" i="2"/>
  <c r="T136" i="2" s="1"/>
  <c r="O136" i="3" s="1"/>
  <c r="H22" i="3"/>
  <c r="O29" i="3"/>
  <c r="Q45" i="3"/>
  <c r="K53" i="3"/>
  <c r="L53" i="3"/>
  <c r="J53" i="3"/>
  <c r="I53" i="3"/>
  <c r="H53" i="3"/>
  <c r="G53" i="3"/>
  <c r="Z53" i="3"/>
  <c r="Y53" i="3"/>
  <c r="X53" i="3"/>
  <c r="W53" i="3"/>
  <c r="V53" i="3"/>
  <c r="U53" i="3"/>
  <c r="J113" i="3"/>
  <c r="X113" i="3"/>
  <c r="W113" i="3"/>
  <c r="S113" i="3"/>
  <c r="R113" i="3"/>
  <c r="O113" i="3"/>
  <c r="M113" i="3"/>
  <c r="K113" i="3"/>
  <c r="H113" i="3"/>
  <c r="Z113" i="3"/>
  <c r="F113" i="3"/>
  <c r="V113" i="3"/>
  <c r="T113" i="3"/>
  <c r="I113" i="3"/>
  <c r="G113" i="3"/>
  <c r="L113" i="3"/>
  <c r="Q22" i="3"/>
  <c r="U29" i="3"/>
  <c r="M53" i="3"/>
  <c r="G59" i="3"/>
  <c r="P123" i="3"/>
  <c r="V111" i="3"/>
  <c r="P111" i="3"/>
  <c r="J111" i="3"/>
  <c r="F111" i="3"/>
  <c r="X111" i="3"/>
  <c r="U111" i="3"/>
  <c r="S111" i="3"/>
  <c r="Q111" i="3"/>
  <c r="M111" i="3"/>
  <c r="L111" i="3"/>
  <c r="Z111" i="3"/>
  <c r="Y111" i="3"/>
  <c r="W111" i="3"/>
  <c r="O111" i="3"/>
  <c r="N111" i="3"/>
  <c r="K111" i="3"/>
  <c r="I111" i="3"/>
  <c r="H111" i="3"/>
  <c r="H120" i="3"/>
  <c r="V120" i="3"/>
  <c r="Q120" i="3"/>
  <c r="M120" i="3"/>
  <c r="L120" i="3"/>
  <c r="K120" i="3"/>
  <c r="I120" i="3"/>
  <c r="F120" i="3"/>
  <c r="Z120" i="3"/>
  <c r="Y120" i="3"/>
  <c r="X120" i="3"/>
  <c r="T120" i="3"/>
  <c r="S120" i="3"/>
  <c r="U120" i="3"/>
  <c r="G120" i="3"/>
  <c r="J120" i="3"/>
  <c r="J143" i="3"/>
  <c r="X143" i="3"/>
  <c r="I143" i="3"/>
  <c r="H143" i="3"/>
  <c r="Z143" i="3"/>
  <c r="Y143" i="3"/>
  <c r="W143" i="3"/>
  <c r="V143" i="3"/>
  <c r="U143" i="3"/>
  <c r="T143" i="3"/>
  <c r="R143" i="3"/>
  <c r="Q143" i="3"/>
  <c r="P143" i="3"/>
  <c r="M143" i="3"/>
  <c r="L143" i="3"/>
  <c r="S143" i="3"/>
  <c r="O143" i="3"/>
  <c r="K143" i="3"/>
  <c r="N143" i="3"/>
  <c r="G143" i="3"/>
  <c r="F143" i="3"/>
  <c r="S22" i="3"/>
  <c r="X29" i="3"/>
  <c r="O53" i="3"/>
  <c r="I59" i="3"/>
  <c r="R89" i="3"/>
  <c r="Z127" i="3"/>
  <c r="F127" i="3"/>
  <c r="T127" i="3"/>
  <c r="J127" i="3"/>
  <c r="I127" i="3"/>
  <c r="Y127" i="3"/>
  <c r="W127" i="3"/>
  <c r="V127" i="3"/>
  <c r="U127" i="3"/>
  <c r="R127" i="3"/>
  <c r="Q127" i="3"/>
  <c r="P127" i="3"/>
  <c r="M127" i="3"/>
  <c r="L127" i="3"/>
  <c r="S127" i="3"/>
  <c r="N127" i="3"/>
  <c r="O127" i="3"/>
  <c r="K127" i="3"/>
  <c r="H127" i="3"/>
  <c r="G127" i="3"/>
  <c r="X127" i="3"/>
  <c r="T22" i="3"/>
  <c r="Z29" i="3"/>
  <c r="P53" i="3"/>
  <c r="K59" i="3"/>
  <c r="U89" i="3"/>
  <c r="G109" i="3"/>
  <c r="N120" i="3"/>
  <c r="T118" i="3"/>
  <c r="N118" i="3"/>
  <c r="Z118" i="3"/>
  <c r="V118" i="3"/>
  <c r="U118" i="3"/>
  <c r="S118" i="3"/>
  <c r="Q118" i="3"/>
  <c r="O118" i="3"/>
  <c r="L118" i="3"/>
  <c r="J118" i="3"/>
  <c r="G118" i="3"/>
  <c r="F118" i="3"/>
  <c r="X118" i="3"/>
  <c r="W118" i="3"/>
  <c r="R118" i="3"/>
  <c r="K118" i="3"/>
  <c r="I118" i="3"/>
  <c r="H118" i="3"/>
  <c r="Y118" i="3"/>
  <c r="U22" i="3"/>
  <c r="Q53" i="3"/>
  <c r="L59" i="3"/>
  <c r="V89" i="3"/>
  <c r="O120" i="3"/>
  <c r="O49" i="3"/>
  <c r="K49" i="3"/>
  <c r="J49" i="3"/>
  <c r="I49" i="3"/>
  <c r="H49" i="3"/>
  <c r="G49" i="3"/>
  <c r="Z49" i="3"/>
  <c r="Y49" i="3"/>
  <c r="X49" i="3"/>
  <c r="W49" i="3"/>
  <c r="V49" i="3"/>
  <c r="U49" i="3"/>
  <c r="N79" i="3"/>
  <c r="H79" i="3"/>
  <c r="X79" i="3"/>
  <c r="U79" i="3"/>
  <c r="O79" i="3"/>
  <c r="W79" i="3"/>
  <c r="V79" i="3"/>
  <c r="T79" i="3"/>
  <c r="S79" i="3"/>
  <c r="R79" i="3"/>
  <c r="L79" i="3"/>
  <c r="P79" i="3"/>
  <c r="M79" i="3"/>
  <c r="K79" i="3"/>
  <c r="J79" i="3"/>
  <c r="I79" i="3"/>
  <c r="F79" i="3"/>
  <c r="N109" i="3"/>
  <c r="H109" i="3"/>
  <c r="T109" i="3"/>
  <c r="P109" i="3"/>
  <c r="O109" i="3"/>
  <c r="K109" i="3"/>
  <c r="I109" i="3"/>
  <c r="F109" i="3"/>
  <c r="Z109" i="3"/>
  <c r="W109" i="3"/>
  <c r="V109" i="3"/>
  <c r="Y109" i="3"/>
  <c r="U109" i="3"/>
  <c r="R109" i="3"/>
  <c r="X109" i="3"/>
  <c r="S109" i="3"/>
  <c r="V127" i="2"/>
  <c r="M125" i="2" s="1"/>
  <c r="V22" i="3"/>
  <c r="R53" i="3"/>
  <c r="T59" i="3"/>
  <c r="I68" i="3"/>
  <c r="L109" i="3"/>
  <c r="P120" i="3"/>
  <c r="V118" i="2"/>
  <c r="P132" i="3"/>
  <c r="J132" i="3"/>
  <c r="K132" i="3"/>
  <c r="I132" i="3"/>
  <c r="F132" i="3"/>
  <c r="Z132" i="3"/>
  <c r="Y132" i="3"/>
  <c r="X132" i="3"/>
  <c r="W132" i="3"/>
  <c r="V132" i="3"/>
  <c r="T132" i="3"/>
  <c r="S132" i="3"/>
  <c r="R132" i="3"/>
  <c r="N132" i="3"/>
  <c r="M132" i="3"/>
  <c r="L132" i="3"/>
  <c r="H132" i="3"/>
  <c r="G132" i="3"/>
  <c r="U132" i="3"/>
  <c r="Q132" i="3"/>
  <c r="O132" i="3"/>
  <c r="W22" i="3"/>
  <c r="F49" i="3"/>
  <c r="S53" i="3"/>
  <c r="J68" i="3"/>
  <c r="M109" i="3"/>
  <c r="N113" i="3"/>
  <c r="R120" i="3"/>
  <c r="Z107" i="3"/>
  <c r="F107" i="3"/>
  <c r="T107" i="3"/>
  <c r="W107" i="3"/>
  <c r="V107" i="3"/>
  <c r="R107" i="3"/>
  <c r="P107" i="3"/>
  <c r="N107" i="3"/>
  <c r="L107" i="3"/>
  <c r="I107" i="3"/>
  <c r="X107" i="3"/>
  <c r="U107" i="3"/>
  <c r="S107" i="3"/>
  <c r="M107" i="3"/>
  <c r="K107" i="3"/>
  <c r="J107" i="3"/>
  <c r="H107" i="3"/>
  <c r="G107" i="3"/>
  <c r="Y107" i="3"/>
  <c r="Q107" i="3"/>
  <c r="Y111" i="2"/>
  <c r="L116" i="3"/>
  <c r="Z116" i="3"/>
  <c r="F116" i="3"/>
  <c r="K116" i="3"/>
  <c r="G116" i="3"/>
  <c r="X116" i="3"/>
  <c r="V116" i="3"/>
  <c r="T116" i="3"/>
  <c r="R116" i="3"/>
  <c r="O116" i="3"/>
  <c r="N116" i="3"/>
  <c r="Y116" i="3"/>
  <c r="W116" i="3"/>
  <c r="U116" i="3"/>
  <c r="S116" i="3"/>
  <c r="P116" i="3"/>
  <c r="J116" i="3"/>
  <c r="Q116" i="3"/>
  <c r="M116" i="3"/>
  <c r="I116" i="3"/>
  <c r="H116" i="3"/>
  <c r="Y120" i="2"/>
  <c r="N139" i="3"/>
  <c r="H139" i="3"/>
  <c r="Z139" i="3"/>
  <c r="W139" i="3"/>
  <c r="V139" i="3"/>
  <c r="U139" i="3"/>
  <c r="T139" i="3"/>
  <c r="S139" i="3"/>
  <c r="R139" i="3"/>
  <c r="Q139" i="3"/>
  <c r="O139" i="3"/>
  <c r="M139" i="3"/>
  <c r="L139" i="3"/>
  <c r="I139" i="3"/>
  <c r="G139" i="3"/>
  <c r="Y139" i="3"/>
  <c r="X139" i="3"/>
  <c r="P139" i="3"/>
  <c r="J139" i="3"/>
  <c r="K139" i="3"/>
  <c r="F139" i="3"/>
  <c r="Y143" i="2"/>
  <c r="X22" i="3"/>
  <c r="F45" i="3"/>
  <c r="L49" i="3"/>
  <c r="T53" i="3"/>
  <c r="Q109" i="3"/>
  <c r="P113" i="3"/>
  <c r="W120" i="3"/>
  <c r="G105" i="2"/>
  <c r="J123" i="3"/>
  <c r="X123" i="3"/>
  <c r="Z123" i="3"/>
  <c r="Y123" i="3"/>
  <c r="U123" i="3"/>
  <c r="T123" i="3"/>
  <c r="S123" i="3"/>
  <c r="Q123" i="3"/>
  <c r="O123" i="3"/>
  <c r="M123" i="3"/>
  <c r="L123" i="3"/>
  <c r="K123" i="3"/>
  <c r="G123" i="3"/>
  <c r="F123" i="3"/>
  <c r="I123" i="3"/>
  <c r="H123" i="3"/>
  <c r="W123" i="3"/>
  <c r="V123" i="3"/>
  <c r="H130" i="3"/>
  <c r="V130" i="3"/>
  <c r="S130" i="3"/>
  <c r="R130" i="3"/>
  <c r="O130" i="3"/>
  <c r="N130" i="3"/>
  <c r="M130" i="3"/>
  <c r="K130" i="3"/>
  <c r="J130" i="3"/>
  <c r="I130" i="3"/>
  <c r="F130" i="3"/>
  <c r="Z130" i="3"/>
  <c r="W130" i="3"/>
  <c r="U130" i="3"/>
  <c r="T130" i="3"/>
  <c r="Q130" i="3"/>
  <c r="P130" i="3"/>
  <c r="L130" i="3"/>
  <c r="X130" i="3"/>
  <c r="G130" i="3"/>
  <c r="Y130" i="3"/>
  <c r="Y22" i="3"/>
  <c r="F29" i="3"/>
  <c r="G45" i="3"/>
  <c r="M49" i="3"/>
  <c r="G79" i="3"/>
  <c r="K87" i="3"/>
  <c r="Q113" i="3"/>
  <c r="X114" i="3"/>
  <c r="R114" i="3"/>
  <c r="S114" i="3"/>
  <c r="N114" i="3"/>
  <c r="M114" i="3"/>
  <c r="J114" i="3"/>
  <c r="H114" i="3"/>
  <c r="F114" i="3"/>
  <c r="Z114" i="3"/>
  <c r="V114" i="3"/>
  <c r="U114" i="3"/>
  <c r="O114" i="3"/>
  <c r="L114" i="3"/>
  <c r="K114" i="3"/>
  <c r="Y114" i="3"/>
  <c r="W114" i="3"/>
  <c r="T114" i="3"/>
  <c r="Q114" i="3"/>
  <c r="P114" i="3"/>
  <c r="I114" i="3"/>
  <c r="G114" i="3"/>
  <c r="Z137" i="3"/>
  <c r="F137" i="3"/>
  <c r="T137" i="3"/>
  <c r="M137" i="3"/>
  <c r="L137" i="3"/>
  <c r="I137" i="3"/>
  <c r="H137" i="3"/>
  <c r="G137" i="3"/>
  <c r="Y137" i="3"/>
  <c r="X137" i="3"/>
  <c r="V137" i="3"/>
  <c r="U137" i="3"/>
  <c r="S137" i="3"/>
  <c r="P137" i="3"/>
  <c r="O137" i="3"/>
  <c r="W137" i="3"/>
  <c r="Q137" i="3"/>
  <c r="K137" i="3"/>
  <c r="N137" i="3"/>
  <c r="J137" i="3"/>
  <c r="R137" i="3"/>
  <c r="G29" i="3"/>
  <c r="L45" i="3"/>
  <c r="N49" i="3"/>
  <c r="Q79" i="3"/>
  <c r="U113" i="3"/>
  <c r="Z68" i="3"/>
  <c r="F68" i="3"/>
  <c r="L68" i="3"/>
  <c r="H68" i="3"/>
  <c r="G68" i="3"/>
  <c r="X68" i="3"/>
  <c r="W68" i="3"/>
  <c r="Y68" i="3"/>
  <c r="V68" i="3"/>
  <c r="U68" i="3"/>
  <c r="T68" i="3"/>
  <c r="R68" i="3"/>
  <c r="Q68" i="3"/>
  <c r="P68" i="3"/>
  <c r="O68" i="3"/>
  <c r="N68" i="3"/>
  <c r="M68" i="3"/>
  <c r="K68" i="3"/>
  <c r="R75" i="3"/>
  <c r="G75" i="3"/>
  <c r="W75" i="3"/>
  <c r="M75" i="3"/>
  <c r="I75" i="3"/>
  <c r="H75" i="3"/>
  <c r="Z75" i="3"/>
  <c r="Y75" i="3"/>
  <c r="X75" i="3"/>
  <c r="V75" i="3"/>
  <c r="Q75" i="3"/>
  <c r="P75" i="3"/>
  <c r="O75" i="3"/>
  <c r="N75" i="3"/>
  <c r="L75" i="3"/>
  <c r="J75" i="3"/>
  <c r="F75" i="3"/>
  <c r="Y109" i="2"/>
  <c r="V123" i="2"/>
  <c r="M122" i="2" s="1"/>
  <c r="V130" i="2"/>
  <c r="H29" i="3"/>
  <c r="P49" i="3"/>
  <c r="Y79" i="3"/>
  <c r="F103" i="3"/>
  <c r="Y113" i="3"/>
  <c r="S45" i="3"/>
  <c r="K45" i="3"/>
  <c r="J45" i="3"/>
  <c r="I45" i="3"/>
  <c r="H45" i="3"/>
  <c r="Z45" i="3"/>
  <c r="Y45" i="3"/>
  <c r="X45" i="3"/>
  <c r="W45" i="3"/>
  <c r="V45" i="3"/>
  <c r="P82" i="3"/>
  <c r="M82" i="3"/>
  <c r="H82" i="3"/>
  <c r="Z82" i="3"/>
  <c r="T82" i="3"/>
  <c r="Y82" i="3"/>
  <c r="X82" i="3"/>
  <c r="U82" i="3"/>
  <c r="S82" i="3"/>
  <c r="R82" i="3"/>
  <c r="Q82" i="3"/>
  <c r="O82" i="3"/>
  <c r="J82" i="3"/>
  <c r="N82" i="3"/>
  <c r="L82" i="3"/>
  <c r="K82" i="3"/>
  <c r="I82" i="3"/>
  <c r="G82" i="3"/>
  <c r="H103" i="2"/>
  <c r="P112" i="3"/>
  <c r="J112" i="3"/>
  <c r="F112" i="3"/>
  <c r="X112" i="3"/>
  <c r="W112" i="3"/>
  <c r="T112" i="3"/>
  <c r="R112" i="3"/>
  <c r="O112" i="3"/>
  <c r="M112" i="3"/>
  <c r="I112" i="3"/>
  <c r="H112" i="3"/>
  <c r="Z112" i="3"/>
  <c r="Y112" i="3"/>
  <c r="V112" i="3"/>
  <c r="U112" i="3"/>
  <c r="S112" i="3"/>
  <c r="N112" i="3"/>
  <c r="K112" i="3"/>
  <c r="Q112" i="3"/>
  <c r="L112" i="3"/>
  <c r="G112" i="3"/>
  <c r="V114" i="2"/>
  <c r="V121" i="3"/>
  <c r="P121" i="3"/>
  <c r="L121" i="3"/>
  <c r="H121" i="3"/>
  <c r="G121" i="3"/>
  <c r="F121" i="3"/>
  <c r="Z121" i="3"/>
  <c r="X121" i="3"/>
  <c r="U121" i="3"/>
  <c r="T121" i="3"/>
  <c r="S121" i="3"/>
  <c r="O121" i="3"/>
  <c r="N121" i="3"/>
  <c r="W121" i="3"/>
  <c r="R121" i="3"/>
  <c r="Q121" i="3"/>
  <c r="J121" i="3"/>
  <c r="I121" i="3"/>
  <c r="Y121" i="3"/>
  <c r="M121" i="3"/>
  <c r="K121" i="3"/>
  <c r="Y132" i="2"/>
  <c r="V137" i="2"/>
  <c r="X144" i="3"/>
  <c r="R144" i="3"/>
  <c r="Z144" i="3"/>
  <c r="V144" i="3"/>
  <c r="U144" i="3"/>
  <c r="T144" i="3"/>
  <c r="S144" i="3"/>
  <c r="Q144" i="3"/>
  <c r="P144" i="3"/>
  <c r="O144" i="3"/>
  <c r="M144" i="3"/>
  <c r="L144" i="3"/>
  <c r="K144" i="3"/>
  <c r="H144" i="3"/>
  <c r="G144" i="3"/>
  <c r="Y144" i="3"/>
  <c r="W144" i="3"/>
  <c r="N144" i="3"/>
  <c r="J144" i="3"/>
  <c r="F144" i="3"/>
  <c r="I144" i="3"/>
  <c r="N45" i="3"/>
  <c r="Q49" i="3"/>
  <c r="Z79" i="3"/>
  <c r="F82" i="3"/>
  <c r="M22" i="3"/>
  <c r="L22" i="3"/>
  <c r="K22" i="3"/>
  <c r="K29" i="3"/>
  <c r="J29" i="3"/>
  <c r="I29" i="3"/>
  <c r="Y29" i="3"/>
  <c r="W29" i="3"/>
  <c r="O59" i="3"/>
  <c r="J59" i="3"/>
  <c r="Y59" i="3"/>
  <c r="X59" i="3"/>
  <c r="W59" i="3"/>
  <c r="V59" i="3"/>
  <c r="U59" i="3"/>
  <c r="S59" i="3"/>
  <c r="R59" i="3"/>
  <c r="Q59" i="3"/>
  <c r="P59" i="3"/>
  <c r="N59" i="3"/>
  <c r="M59" i="3"/>
  <c r="J73" i="3"/>
  <c r="R73" i="3"/>
  <c r="M73" i="3"/>
  <c r="X73" i="3"/>
  <c r="N73" i="3"/>
  <c r="L73" i="3"/>
  <c r="G73" i="3"/>
  <c r="F73" i="3"/>
  <c r="K73" i="3"/>
  <c r="I73" i="3"/>
  <c r="H73" i="3"/>
  <c r="Z73" i="3"/>
  <c r="Y73" i="3"/>
  <c r="W73" i="3"/>
  <c r="H87" i="2"/>
  <c r="N89" i="3"/>
  <c r="T89" i="3"/>
  <c r="O89" i="3"/>
  <c r="K89" i="3"/>
  <c r="I89" i="3"/>
  <c r="G89" i="3"/>
  <c r="Z89" i="3"/>
  <c r="W89" i="3"/>
  <c r="H89" i="3"/>
  <c r="F89" i="3"/>
  <c r="Y89" i="3"/>
  <c r="S89" i="3"/>
  <c r="Q89" i="3"/>
  <c r="P89" i="3"/>
  <c r="M89" i="3"/>
  <c r="L89" i="3"/>
  <c r="J89" i="3"/>
  <c r="Y107" i="2"/>
  <c r="Y116" i="2"/>
  <c r="H126" i="2"/>
  <c r="R135" i="3"/>
  <c r="L135" i="3"/>
  <c r="U135" i="3"/>
  <c r="T135" i="3"/>
  <c r="P135" i="3"/>
  <c r="O135" i="3"/>
  <c r="N135" i="3"/>
  <c r="M135" i="3"/>
  <c r="K135" i="3"/>
  <c r="J135" i="3"/>
  <c r="I135" i="3"/>
  <c r="G135" i="3"/>
  <c r="F135" i="3"/>
  <c r="X135" i="3"/>
  <c r="W135" i="3"/>
  <c r="Z135" i="3"/>
  <c r="Y135" i="3"/>
  <c r="S135" i="3"/>
  <c r="H135" i="3"/>
  <c r="V135" i="3"/>
  <c r="Q135" i="3"/>
  <c r="Y139" i="2"/>
  <c r="F22" i="3"/>
  <c r="M29" i="3"/>
  <c r="O45" i="3"/>
  <c r="R49" i="3"/>
  <c r="O73" i="3"/>
  <c r="V82" i="3"/>
  <c r="J103" i="3"/>
  <c r="X103" i="3"/>
  <c r="T103" i="3"/>
  <c r="P103" i="3"/>
  <c r="O103" i="3"/>
  <c r="L103" i="3"/>
  <c r="I103" i="3"/>
  <c r="G103" i="3"/>
  <c r="W103" i="3"/>
  <c r="Z103" i="3"/>
  <c r="Y103" i="3"/>
  <c r="V103" i="3"/>
  <c r="R103" i="3"/>
  <c r="Q103" i="3"/>
  <c r="N103" i="3"/>
  <c r="M103" i="3"/>
  <c r="K103" i="3"/>
  <c r="U103" i="3"/>
  <c r="S103" i="3"/>
  <c r="V112" i="2"/>
  <c r="N119" i="3"/>
  <c r="H119" i="3"/>
  <c r="V119" i="3"/>
  <c r="R119" i="3"/>
  <c r="Q119" i="3"/>
  <c r="P119" i="3"/>
  <c r="M119" i="3"/>
  <c r="K119" i="3"/>
  <c r="I119" i="3"/>
  <c r="F119" i="3"/>
  <c r="Y119" i="3"/>
  <c r="X119" i="3"/>
  <c r="Z119" i="3"/>
  <c r="W119" i="3"/>
  <c r="U119" i="3"/>
  <c r="T119" i="3"/>
  <c r="S119" i="3"/>
  <c r="L119" i="3"/>
  <c r="G119" i="3"/>
  <c r="O119" i="3"/>
  <c r="J119" i="3"/>
  <c r="V121" i="2"/>
  <c r="Y123" i="2"/>
  <c r="T122" i="2" s="1"/>
  <c r="U122" i="3" s="1"/>
  <c r="Y130" i="2"/>
  <c r="P142" i="3"/>
  <c r="J142" i="3"/>
  <c r="N142" i="3"/>
  <c r="M142" i="3"/>
  <c r="I142" i="3"/>
  <c r="H142" i="3"/>
  <c r="G142" i="3"/>
  <c r="F142" i="3"/>
  <c r="Z142" i="3"/>
  <c r="Y142" i="3"/>
  <c r="W142" i="3"/>
  <c r="V142" i="3"/>
  <c r="U142" i="3"/>
  <c r="R142" i="3"/>
  <c r="Q142" i="3"/>
  <c r="X142" i="3"/>
  <c r="T142" i="3"/>
  <c r="S142" i="3"/>
  <c r="O142" i="3"/>
  <c r="K142" i="3"/>
  <c r="L142" i="3"/>
  <c r="V144" i="2"/>
  <c r="G22" i="3"/>
  <c r="N29" i="3"/>
  <c r="P45" i="3"/>
  <c r="S49" i="3"/>
  <c r="P73" i="3"/>
  <c r="W82" i="3"/>
  <c r="O107" i="3"/>
  <c r="M118" i="3"/>
  <c r="D34" i="9"/>
  <c r="D35" i="9"/>
  <c r="F36" i="9"/>
  <c r="M6" i="3" l="1"/>
  <c r="F6" i="3"/>
  <c r="J6" i="3"/>
  <c r="Y52" i="3"/>
  <c r="P52" i="3"/>
  <c r="K52" i="3"/>
  <c r="Q52" i="3"/>
  <c r="R52" i="3"/>
  <c r="W69" i="3"/>
  <c r="R60" i="3"/>
  <c r="X69" i="3"/>
  <c r="W60" i="3"/>
  <c r="T52" i="3"/>
  <c r="G52" i="2"/>
  <c r="G6" i="3"/>
  <c r="U69" i="3"/>
  <c r="Z60" i="3"/>
  <c r="V66" i="3"/>
  <c r="M66" i="3"/>
  <c r="M41" i="2"/>
  <c r="E41" i="3" s="1"/>
  <c r="J48" i="3"/>
  <c r="E134" i="3"/>
  <c r="J77" i="1"/>
  <c r="S48" i="3"/>
  <c r="I69" i="3"/>
  <c r="O66" i="3"/>
  <c r="P60" i="3"/>
  <c r="N48" i="3"/>
  <c r="N46" i="3"/>
  <c r="Y80" i="3"/>
  <c r="K102" i="3"/>
  <c r="G52" i="3"/>
  <c r="I46" i="2"/>
  <c r="T63" i="2"/>
  <c r="G63" i="3" s="1"/>
  <c r="U60" i="3"/>
  <c r="F48" i="3"/>
  <c r="I60" i="3"/>
  <c r="M34" i="2"/>
  <c r="E34" i="3" s="1"/>
  <c r="K66" i="3"/>
  <c r="G69" i="3"/>
  <c r="S66" i="3"/>
  <c r="T71" i="2"/>
  <c r="F60" i="3"/>
  <c r="T86" i="2"/>
  <c r="F86" i="3" s="1"/>
  <c r="M52" i="2"/>
  <c r="O48" i="3"/>
  <c r="O46" i="3"/>
  <c r="L28" i="3"/>
  <c r="L80" i="3"/>
  <c r="M102" i="3"/>
  <c r="G58" i="1"/>
  <c r="H52" i="3"/>
  <c r="G83" i="2"/>
  <c r="I52" i="2"/>
  <c r="J63" i="1"/>
  <c r="X60" i="3"/>
  <c r="D5" i="3"/>
  <c r="H48" i="3"/>
  <c r="H48" i="2"/>
  <c r="G55" i="1"/>
  <c r="Y48" i="3"/>
  <c r="J102" i="3"/>
  <c r="G70" i="1"/>
  <c r="V28" i="3"/>
  <c r="R48" i="3"/>
  <c r="G141" i="2"/>
  <c r="H69" i="3"/>
  <c r="T66" i="3"/>
  <c r="G60" i="3"/>
  <c r="M95" i="2"/>
  <c r="E95" i="3" s="1"/>
  <c r="T10" i="2"/>
  <c r="P10" i="3" s="1"/>
  <c r="P48" i="3"/>
  <c r="P46" i="3"/>
  <c r="M28" i="3"/>
  <c r="R80" i="3"/>
  <c r="V102" i="3"/>
  <c r="I52" i="3"/>
  <c r="P83" i="3"/>
  <c r="V69" i="3"/>
  <c r="S52" i="3"/>
  <c r="V60" i="3"/>
  <c r="I60" i="2"/>
  <c r="S60" i="3"/>
  <c r="E102" i="3"/>
  <c r="J70" i="1"/>
  <c r="Y69" i="3"/>
  <c r="G48" i="3"/>
  <c r="K6" i="3"/>
  <c r="F69" i="3"/>
  <c r="I48" i="3"/>
  <c r="Z52" i="3"/>
  <c r="I48" i="2"/>
  <c r="X28" i="3"/>
  <c r="N66" i="3"/>
  <c r="O80" i="3"/>
  <c r="Z102" i="3"/>
  <c r="F52" i="3"/>
  <c r="O141" i="3"/>
  <c r="K69" i="3"/>
  <c r="U66" i="3"/>
  <c r="H60" i="3"/>
  <c r="U48" i="3"/>
  <c r="V46" i="3"/>
  <c r="I28" i="3"/>
  <c r="W102" i="3"/>
  <c r="J54" i="1"/>
  <c r="J52" i="3"/>
  <c r="Q83" i="3"/>
  <c r="J52" i="1"/>
  <c r="T60" i="3"/>
  <c r="U52" i="3"/>
  <c r="R28" i="3"/>
  <c r="T69" i="3"/>
  <c r="P102" i="3"/>
  <c r="L69" i="3"/>
  <c r="W66" i="3"/>
  <c r="J60" i="3"/>
  <c r="W46" i="3"/>
  <c r="K28" i="3"/>
  <c r="X102" i="3"/>
  <c r="L52" i="3"/>
  <c r="R83" i="3"/>
  <c r="V52" i="3"/>
  <c r="T48" i="3"/>
  <c r="L46" i="3"/>
  <c r="N80" i="3"/>
  <c r="G54" i="1"/>
  <c r="U28" i="3"/>
  <c r="M69" i="3"/>
  <c r="M72" i="3"/>
  <c r="X66" i="3"/>
  <c r="K60" i="3"/>
  <c r="Q46" i="3"/>
  <c r="G102" i="3"/>
  <c r="M52" i="3"/>
  <c r="S83" i="3"/>
  <c r="S69" i="3"/>
  <c r="S28" i="3"/>
  <c r="J66" i="3"/>
  <c r="Y34" i="3"/>
  <c r="W52" i="3"/>
  <c r="Z69" i="3"/>
  <c r="X52" i="3"/>
  <c r="M141" i="2"/>
  <c r="R136" i="3"/>
  <c r="Q72" i="3"/>
  <c r="L60" i="3"/>
  <c r="T83" i="3"/>
  <c r="I31" i="2"/>
  <c r="H31" i="2"/>
  <c r="L31" i="3"/>
  <c r="G50" i="1"/>
  <c r="X31" i="3"/>
  <c r="U31" i="3"/>
  <c r="T31" i="3"/>
  <c r="W31" i="3"/>
  <c r="P31" i="3"/>
  <c r="S31" i="3"/>
  <c r="O31" i="3"/>
  <c r="R31" i="3"/>
  <c r="N31" i="3"/>
  <c r="Q31" i="3"/>
  <c r="M31" i="3"/>
  <c r="K31" i="3"/>
  <c r="J31" i="3"/>
  <c r="I31" i="3"/>
  <c r="H31" i="3"/>
  <c r="G31" i="3"/>
  <c r="F31" i="3"/>
  <c r="Z31" i="3"/>
  <c r="Y31" i="3"/>
  <c r="V31" i="3"/>
  <c r="E141" i="3"/>
  <c r="J79" i="1"/>
  <c r="I38" i="2"/>
  <c r="G52" i="1"/>
  <c r="H38" i="2"/>
  <c r="M38" i="3"/>
  <c r="L38" i="3"/>
  <c r="K38" i="3"/>
  <c r="G38" i="3"/>
  <c r="J38" i="3"/>
  <c r="I38" i="3"/>
  <c r="H38" i="3"/>
  <c r="F38" i="3"/>
  <c r="U38" i="3"/>
  <c r="Z38" i="3"/>
  <c r="Y38" i="3"/>
  <c r="X38" i="3"/>
  <c r="W38" i="3"/>
  <c r="S38" i="3"/>
  <c r="R38" i="3"/>
  <c r="T38" i="3"/>
  <c r="Q38" i="3"/>
  <c r="P38" i="3"/>
  <c r="V38" i="3"/>
  <c r="O38" i="3"/>
  <c r="N38" i="3"/>
  <c r="E15" i="3"/>
  <c r="J46" i="1"/>
  <c r="E125" i="3"/>
  <c r="J75" i="1"/>
  <c r="E66" i="3"/>
  <c r="J60" i="1"/>
  <c r="I71" i="2"/>
  <c r="H71" i="2"/>
  <c r="I86" i="2"/>
  <c r="H86" i="2"/>
  <c r="U86" i="3"/>
  <c r="J86" i="3"/>
  <c r="K86" i="3"/>
  <c r="L86" i="3"/>
  <c r="I86" i="3"/>
  <c r="N86" i="3"/>
  <c r="G66" i="1"/>
  <c r="Z86" i="3"/>
  <c r="V86" i="3"/>
  <c r="T86" i="3"/>
  <c r="Q86" i="3"/>
  <c r="Y86" i="3"/>
  <c r="X86" i="3"/>
  <c r="S86" i="3"/>
  <c r="R86" i="3"/>
  <c r="P86" i="3"/>
  <c r="O86" i="3"/>
  <c r="M86" i="3"/>
  <c r="G86" i="3"/>
  <c r="W86" i="3"/>
  <c r="E52" i="3"/>
  <c r="J56" i="1"/>
  <c r="T41" i="2"/>
  <c r="T42" i="2"/>
  <c r="M117" i="2"/>
  <c r="J122" i="3"/>
  <c r="F141" i="3"/>
  <c r="Q57" i="3"/>
  <c r="L72" i="3"/>
  <c r="J28" i="3"/>
  <c r="G80" i="3"/>
  <c r="G76" i="3"/>
  <c r="I57" i="3"/>
  <c r="R34" i="3"/>
  <c r="N98" i="3"/>
  <c r="N83" i="3"/>
  <c r="U91" i="3"/>
  <c r="Z6" i="3"/>
  <c r="I10" i="3"/>
  <c r="M63" i="3"/>
  <c r="T129" i="2"/>
  <c r="T128" i="2"/>
  <c r="M105" i="2"/>
  <c r="M104" i="2"/>
  <c r="I76" i="3"/>
  <c r="E86" i="3"/>
  <c r="J66" i="1"/>
  <c r="J57" i="3"/>
  <c r="T34" i="3"/>
  <c r="F98" i="3"/>
  <c r="T98" i="3"/>
  <c r="P91" i="3"/>
  <c r="Y91" i="3"/>
  <c r="J65" i="1"/>
  <c r="E83" i="3"/>
  <c r="V34" i="3"/>
  <c r="H98" i="3"/>
  <c r="R91" i="3"/>
  <c r="I91" i="3"/>
  <c r="K10" i="3"/>
  <c r="E96" i="3"/>
  <c r="J68" i="1"/>
  <c r="G57" i="1"/>
  <c r="I57" i="2"/>
  <c r="H57" i="2"/>
  <c r="T91" i="3"/>
  <c r="V91" i="3"/>
  <c r="B20" i="1"/>
  <c r="M56" i="2"/>
  <c r="M57" i="2"/>
  <c r="H136" i="2"/>
  <c r="I136" i="2"/>
  <c r="G78" i="1"/>
  <c r="M5" i="2"/>
  <c r="M6" i="2"/>
  <c r="M76" i="3"/>
  <c r="M34" i="3"/>
  <c r="V98" i="3"/>
  <c r="W91" i="3"/>
  <c r="T5" i="2"/>
  <c r="Z5" i="3" s="1"/>
  <c r="M10" i="3"/>
  <c r="P122" i="3"/>
  <c r="I122" i="3"/>
  <c r="X141" i="3"/>
  <c r="G122" i="3"/>
  <c r="E63" i="3"/>
  <c r="J59" i="1"/>
  <c r="M57" i="3"/>
  <c r="W136" i="3"/>
  <c r="M122" i="3"/>
  <c r="U141" i="3"/>
  <c r="AA4" i="1"/>
  <c r="Z4" i="1"/>
  <c r="R4" i="1"/>
  <c r="Q4" i="1"/>
  <c r="AH4" i="1"/>
  <c r="X4" i="1"/>
  <c r="O4" i="1"/>
  <c r="W4" i="1"/>
  <c r="G5" i="2"/>
  <c r="V4" i="1"/>
  <c r="U4" i="1"/>
  <c r="T4" i="1"/>
  <c r="P4" i="1"/>
  <c r="S4" i="1"/>
  <c r="N4" i="1"/>
  <c r="AG4" i="1"/>
  <c r="AF4" i="1"/>
  <c r="AE4" i="1"/>
  <c r="AD4" i="1"/>
  <c r="AC4" i="1"/>
  <c r="AB4" i="1"/>
  <c r="Y4" i="1"/>
  <c r="O28" i="3"/>
  <c r="W80" i="3"/>
  <c r="N76" i="3"/>
  <c r="G57" i="3"/>
  <c r="U34" i="3"/>
  <c r="W83" i="3"/>
  <c r="G67" i="1"/>
  <c r="L6" i="3"/>
  <c r="I98" i="2"/>
  <c r="H98" i="2"/>
  <c r="Y20" i="3"/>
  <c r="X20" i="3"/>
  <c r="W20" i="3"/>
  <c r="M20" i="3"/>
  <c r="L20" i="3"/>
  <c r="K20" i="3"/>
  <c r="J20" i="3"/>
  <c r="I20" i="3"/>
  <c r="H20" i="3"/>
  <c r="G20" i="3"/>
  <c r="F20" i="3"/>
  <c r="Z20" i="3"/>
  <c r="V20" i="3"/>
  <c r="T20" i="3"/>
  <c r="N20" i="3"/>
  <c r="P20" i="3"/>
  <c r="G20" i="2"/>
  <c r="O20" i="3"/>
  <c r="G47" i="1"/>
  <c r="U20" i="3"/>
  <c r="S20" i="3"/>
  <c r="R20" i="3"/>
  <c r="Q20" i="3"/>
  <c r="S136" i="3"/>
  <c r="M72" i="2"/>
  <c r="M71" i="2"/>
  <c r="X136" i="3"/>
  <c r="E42" i="3"/>
  <c r="J53" i="1"/>
  <c r="S122" i="3"/>
  <c r="I72" i="2"/>
  <c r="H72" i="2"/>
  <c r="G62" i="1"/>
  <c r="G72" i="3"/>
  <c r="Y141" i="3"/>
  <c r="V72" i="3"/>
  <c r="G63" i="1"/>
  <c r="P28" i="3"/>
  <c r="O76" i="3"/>
  <c r="I69" i="2"/>
  <c r="G61" i="1"/>
  <c r="H69" i="2"/>
  <c r="J69" i="3"/>
  <c r="I63" i="2"/>
  <c r="H63" i="2"/>
  <c r="F34" i="3"/>
  <c r="L98" i="3"/>
  <c r="Y83" i="3"/>
  <c r="O6" i="3"/>
  <c r="I91" i="2"/>
  <c r="H91" i="2"/>
  <c r="G51" i="1"/>
  <c r="Y136" i="3"/>
  <c r="M28" i="2"/>
  <c r="M27" i="2"/>
  <c r="Z141" i="3"/>
  <c r="D104" i="3"/>
  <c r="G17" i="1"/>
  <c r="Q76" i="3"/>
  <c r="I6" i="2"/>
  <c r="H6" i="2"/>
  <c r="T27" i="2"/>
  <c r="G34" i="3"/>
  <c r="M98" i="3"/>
  <c r="H91" i="3"/>
  <c r="P6" i="3"/>
  <c r="H6" i="3"/>
  <c r="I122" i="2"/>
  <c r="G74" i="1"/>
  <c r="H122" i="2"/>
  <c r="S98" i="3"/>
  <c r="M31" i="2"/>
  <c r="E23" i="3"/>
  <c r="J48" i="1"/>
  <c r="G141" i="3"/>
  <c r="I117" i="2"/>
  <c r="H117" i="2"/>
  <c r="Y72" i="3"/>
  <c r="D41" i="3"/>
  <c r="G13" i="1"/>
  <c r="T23" i="2"/>
  <c r="H34" i="3"/>
  <c r="Q98" i="3"/>
  <c r="O83" i="3"/>
  <c r="Q6" i="3"/>
  <c r="I6" i="3"/>
  <c r="I76" i="2"/>
  <c r="H76" i="2"/>
  <c r="T136" i="3"/>
  <c r="T141" i="3"/>
  <c r="H136" i="3"/>
  <c r="T57" i="3"/>
  <c r="Z72" i="3"/>
  <c r="I28" i="2"/>
  <c r="H28" i="2"/>
  <c r="Z76" i="3"/>
  <c r="O57" i="3"/>
  <c r="E20" i="3"/>
  <c r="J47" i="1"/>
  <c r="I34" i="3"/>
  <c r="R98" i="3"/>
  <c r="U83" i="3"/>
  <c r="X91" i="3"/>
  <c r="R6" i="3"/>
  <c r="H141" i="3"/>
  <c r="I136" i="3"/>
  <c r="L122" i="3"/>
  <c r="R57" i="3"/>
  <c r="I141" i="3"/>
  <c r="F72" i="3"/>
  <c r="H80" i="2"/>
  <c r="I80" i="2"/>
  <c r="T80" i="3"/>
  <c r="T76" i="3"/>
  <c r="M110" i="2"/>
  <c r="U57" i="3"/>
  <c r="J34" i="3"/>
  <c r="W98" i="3"/>
  <c r="R69" i="3"/>
  <c r="G65" i="1"/>
  <c r="X83" i="3"/>
  <c r="Z91" i="3"/>
  <c r="S6" i="3"/>
  <c r="J136" i="3"/>
  <c r="O122" i="3"/>
  <c r="J141" i="3"/>
  <c r="I72" i="3"/>
  <c r="M98" i="2"/>
  <c r="T15" i="2"/>
  <c r="U80" i="3"/>
  <c r="U76" i="3"/>
  <c r="H57" i="3"/>
  <c r="K34" i="3"/>
  <c r="Y98" i="3"/>
  <c r="H83" i="3"/>
  <c r="F91" i="3"/>
  <c r="U6" i="3"/>
  <c r="K122" i="3"/>
  <c r="K136" i="3"/>
  <c r="Q122" i="3"/>
  <c r="K141" i="3"/>
  <c r="J72" i="3"/>
  <c r="V80" i="3"/>
  <c r="V76" i="3"/>
  <c r="L34" i="3"/>
  <c r="Z98" i="3"/>
  <c r="F83" i="3"/>
  <c r="J83" i="3"/>
  <c r="G91" i="3"/>
  <c r="G44" i="1"/>
  <c r="U10" i="3"/>
  <c r="X10" i="3"/>
  <c r="H63" i="3"/>
  <c r="E60" i="3"/>
  <c r="J58" i="1"/>
  <c r="M136" i="3"/>
  <c r="R122" i="3"/>
  <c r="S57" i="3"/>
  <c r="L141" i="3"/>
  <c r="N72" i="3"/>
  <c r="E10" i="3"/>
  <c r="J45" i="1"/>
  <c r="N28" i="3"/>
  <c r="Z80" i="3"/>
  <c r="X76" i="3"/>
  <c r="T95" i="2"/>
  <c r="F95" i="3" s="1"/>
  <c r="T96" i="2"/>
  <c r="N57" i="3"/>
  <c r="Q34" i="3"/>
  <c r="X98" i="3"/>
  <c r="G83" i="3"/>
  <c r="K91" i="3"/>
  <c r="V10" i="3"/>
  <c r="Y10" i="3"/>
  <c r="G136" i="3"/>
  <c r="E122" i="3"/>
  <c r="J74" i="1"/>
  <c r="P136" i="3"/>
  <c r="T122" i="3"/>
  <c r="T28" i="3"/>
  <c r="O72" i="3"/>
  <c r="W28" i="3"/>
  <c r="J80" i="3"/>
  <c r="Y76" i="3"/>
  <c r="V57" i="3"/>
  <c r="S34" i="3"/>
  <c r="G98" i="3"/>
  <c r="K83" i="3"/>
  <c r="M91" i="3"/>
  <c r="N6" i="3"/>
  <c r="Z10" i="3"/>
  <c r="J63" i="3"/>
  <c r="F122" i="3"/>
  <c r="I141" i="2"/>
  <c r="H141" i="2"/>
  <c r="S141" i="3"/>
  <c r="G79" i="1"/>
  <c r="P57" i="3"/>
  <c r="Q136" i="3"/>
  <c r="V122" i="3"/>
  <c r="Q141" i="3"/>
  <c r="Z117" i="3"/>
  <c r="F117" i="3"/>
  <c r="T117" i="3"/>
  <c r="H117" i="3"/>
  <c r="Y117" i="3"/>
  <c r="X117" i="3"/>
  <c r="W117" i="3"/>
  <c r="U117" i="3"/>
  <c r="R117" i="3"/>
  <c r="P117" i="3"/>
  <c r="N117" i="3"/>
  <c r="K117" i="3"/>
  <c r="J117" i="3"/>
  <c r="G117" i="3"/>
  <c r="V117" i="3"/>
  <c r="Q117" i="3"/>
  <c r="O117" i="3"/>
  <c r="M117" i="3"/>
  <c r="L117" i="3"/>
  <c r="I117" i="3"/>
  <c r="S117" i="3"/>
  <c r="G117" i="2"/>
  <c r="G73" i="1"/>
  <c r="H72" i="3"/>
  <c r="M91" i="2"/>
  <c r="Y28" i="3"/>
  <c r="P80" i="3"/>
  <c r="F76" i="3"/>
  <c r="T56" i="2"/>
  <c r="W57" i="3"/>
  <c r="W34" i="3"/>
  <c r="I98" i="3"/>
  <c r="L83" i="3"/>
  <c r="N91" i="3"/>
  <c r="T6" i="3"/>
  <c r="J76" i="3"/>
  <c r="W122" i="3"/>
  <c r="M129" i="2"/>
  <c r="M128" i="2"/>
  <c r="M136" i="2"/>
  <c r="T110" i="2"/>
  <c r="F136" i="3"/>
  <c r="X122" i="3"/>
  <c r="R141" i="3"/>
  <c r="R95" i="3"/>
  <c r="L95" i="3"/>
  <c r="I95" i="3"/>
  <c r="Z95" i="3"/>
  <c r="H95" i="3"/>
  <c r="G95" i="3"/>
  <c r="F16" i="1"/>
  <c r="G95" i="2"/>
  <c r="R72" i="3"/>
  <c r="H71" i="3"/>
  <c r="W71" i="3"/>
  <c r="N71" i="3"/>
  <c r="S71" i="3"/>
  <c r="R71" i="3"/>
  <c r="M71" i="3"/>
  <c r="L71" i="3"/>
  <c r="J71" i="3"/>
  <c r="Y71" i="3"/>
  <c r="X71" i="3"/>
  <c r="V71" i="3"/>
  <c r="U71" i="3"/>
  <c r="T71" i="3"/>
  <c r="Q71" i="3"/>
  <c r="P71" i="3"/>
  <c r="G71" i="3"/>
  <c r="F71" i="3"/>
  <c r="I71" i="3"/>
  <c r="G71" i="2"/>
  <c r="Z71" i="3"/>
  <c r="O71" i="3"/>
  <c r="K71" i="3"/>
  <c r="F15" i="1"/>
  <c r="G49" i="1"/>
  <c r="Z28" i="3"/>
  <c r="S80" i="3"/>
  <c r="H76" i="3"/>
  <c r="X57" i="3"/>
  <c r="X34" i="3"/>
  <c r="K98" i="3"/>
  <c r="M83" i="3"/>
  <c r="L91" i="3"/>
  <c r="V6" i="3"/>
  <c r="G45" i="1"/>
  <c r="G59" i="1"/>
  <c r="K63" i="3"/>
  <c r="Z136" i="3"/>
  <c r="Y122" i="3"/>
  <c r="P141" i="3"/>
  <c r="W72" i="3"/>
  <c r="E69" i="3"/>
  <c r="J61" i="1"/>
  <c r="F28" i="3"/>
  <c r="D95" i="3"/>
  <c r="G16" i="1"/>
  <c r="X80" i="3"/>
  <c r="R76" i="3"/>
  <c r="Y57" i="3"/>
  <c r="N34" i="3"/>
  <c r="Z34" i="3"/>
  <c r="O98" i="3"/>
  <c r="O91" i="3"/>
  <c r="W6" i="3"/>
  <c r="T10" i="3"/>
  <c r="T63" i="3"/>
  <c r="L63" i="3"/>
  <c r="V136" i="3"/>
  <c r="L136" i="3"/>
  <c r="Z122" i="3"/>
  <c r="N141" i="3"/>
  <c r="V141" i="3"/>
  <c r="P72" i="3"/>
  <c r="T104" i="2"/>
  <c r="T105" i="2"/>
  <c r="I66" i="2"/>
  <c r="H66" i="2"/>
  <c r="G60" i="1"/>
  <c r="G28" i="3"/>
  <c r="H80" i="3"/>
  <c r="W76" i="3"/>
  <c r="I83" i="2"/>
  <c r="H83" i="2"/>
  <c r="Z57" i="3"/>
  <c r="O34" i="3"/>
  <c r="P98" i="3"/>
  <c r="B18" i="1"/>
  <c r="V83" i="3"/>
  <c r="Q91" i="3"/>
  <c r="X6" i="3"/>
  <c r="I34" i="2"/>
  <c r="H34" i="2"/>
  <c r="N122" i="3"/>
  <c r="K76" i="3"/>
  <c r="L57" i="3"/>
  <c r="N136" i="3"/>
  <c r="H122" i="3"/>
  <c r="K72" i="3"/>
  <c r="E48" i="3"/>
  <c r="J55" i="1"/>
  <c r="D56" i="3"/>
  <c r="G14" i="1"/>
  <c r="H28" i="3"/>
  <c r="F80" i="3"/>
  <c r="P76" i="3"/>
  <c r="L76" i="3"/>
  <c r="F57" i="3"/>
  <c r="P34" i="3"/>
  <c r="G69" i="1"/>
  <c r="U98" i="3"/>
  <c r="I83" i="3"/>
  <c r="S91" i="3"/>
  <c r="Y6" i="3"/>
  <c r="I20" i="2"/>
  <c r="U5" i="3" l="1"/>
  <c r="H10" i="3"/>
  <c r="Y5" i="3"/>
  <c r="N10" i="3"/>
  <c r="I5" i="3"/>
  <c r="N5" i="3"/>
  <c r="J10" i="3"/>
  <c r="I16" i="1"/>
  <c r="Z63" i="3"/>
  <c r="I10" i="2"/>
  <c r="L10" i="3"/>
  <c r="W5" i="3"/>
  <c r="I13" i="1"/>
  <c r="P63" i="3"/>
  <c r="S63" i="3"/>
  <c r="J51" i="1"/>
  <c r="V5" i="3"/>
  <c r="F5" i="3"/>
  <c r="H5" i="3"/>
  <c r="S10" i="3"/>
  <c r="X63" i="3"/>
  <c r="R10" i="3"/>
  <c r="Q10" i="3"/>
  <c r="V63" i="3"/>
  <c r="F10" i="3"/>
  <c r="F63" i="3"/>
  <c r="O10" i="3"/>
  <c r="R5" i="3"/>
  <c r="Y63" i="3"/>
  <c r="W10" i="3"/>
  <c r="H86" i="3"/>
  <c r="U63" i="3"/>
  <c r="Q63" i="3"/>
  <c r="N63" i="3"/>
  <c r="O63" i="3"/>
  <c r="W63" i="3"/>
  <c r="R63" i="3"/>
  <c r="G5" i="3"/>
  <c r="F11" i="1"/>
  <c r="H10" i="2"/>
  <c r="I63" i="3"/>
  <c r="G10" i="3"/>
  <c r="F14" i="1"/>
  <c r="I56" i="2"/>
  <c r="H56" i="2"/>
  <c r="W56" i="3"/>
  <c r="V56" i="3"/>
  <c r="U56" i="3"/>
  <c r="T56" i="3"/>
  <c r="S56" i="3"/>
  <c r="M56" i="3"/>
  <c r="L56" i="3"/>
  <c r="R56" i="3"/>
  <c r="Z56" i="3"/>
  <c r="Q56" i="3"/>
  <c r="P56" i="3"/>
  <c r="O56" i="3"/>
  <c r="N56" i="3"/>
  <c r="K56" i="3"/>
  <c r="J56" i="3"/>
  <c r="I56" i="3"/>
  <c r="H56" i="3"/>
  <c r="G56" i="3"/>
  <c r="F56" i="3"/>
  <c r="Y56" i="3"/>
  <c r="X56" i="3"/>
  <c r="I27" i="2"/>
  <c r="H27" i="2"/>
  <c r="Y27" i="3"/>
  <c r="T27" i="3"/>
  <c r="S27" i="3"/>
  <c r="W27" i="3"/>
  <c r="R27" i="3"/>
  <c r="V27" i="3"/>
  <c r="Q27" i="3"/>
  <c r="U27" i="3"/>
  <c r="P27" i="3"/>
  <c r="N27" i="3"/>
  <c r="M27" i="3"/>
  <c r="L27" i="3"/>
  <c r="K27" i="3"/>
  <c r="J27" i="3"/>
  <c r="I27" i="3"/>
  <c r="H27" i="3"/>
  <c r="G27" i="3"/>
  <c r="F27" i="3"/>
  <c r="Z27" i="3"/>
  <c r="X27" i="3"/>
  <c r="O27" i="3"/>
  <c r="F12" i="1"/>
  <c r="E57" i="3"/>
  <c r="J57" i="1"/>
  <c r="I95" i="2"/>
  <c r="H95" i="2"/>
  <c r="I15" i="2"/>
  <c r="H15" i="2"/>
  <c r="R15" i="3"/>
  <c r="P15" i="3"/>
  <c r="O15" i="3"/>
  <c r="N15" i="3"/>
  <c r="H15" i="3"/>
  <c r="M15" i="3"/>
  <c r="F15" i="3"/>
  <c r="G15" i="3"/>
  <c r="Z15" i="3"/>
  <c r="L15" i="3"/>
  <c r="Y15" i="3"/>
  <c r="K15" i="3"/>
  <c r="X15" i="3"/>
  <c r="W15" i="3"/>
  <c r="J15" i="3"/>
  <c r="V15" i="3"/>
  <c r="U15" i="3"/>
  <c r="I15" i="3"/>
  <c r="T15" i="3"/>
  <c r="Q15" i="3"/>
  <c r="S15" i="3"/>
  <c r="G46" i="1"/>
  <c r="X5" i="3"/>
  <c r="E91" i="3"/>
  <c r="J67" i="1"/>
  <c r="J95" i="3"/>
  <c r="E98" i="3"/>
  <c r="J69" i="1"/>
  <c r="E27" i="3"/>
  <c r="I12" i="1"/>
  <c r="E117" i="3"/>
  <c r="J73" i="1"/>
  <c r="E104" i="3"/>
  <c r="I17" i="1"/>
  <c r="I42" i="2"/>
  <c r="H42" i="2"/>
  <c r="V42" i="3"/>
  <c r="U42" i="3"/>
  <c r="N42" i="3"/>
  <c r="M42" i="3"/>
  <c r="L42" i="3"/>
  <c r="K42" i="3"/>
  <c r="J42" i="3"/>
  <c r="I42" i="3"/>
  <c r="H42" i="3"/>
  <c r="G42" i="3"/>
  <c r="Q42" i="3"/>
  <c r="Z42" i="3"/>
  <c r="F42" i="3"/>
  <c r="Y42" i="3"/>
  <c r="G53" i="1"/>
  <c r="X42" i="3"/>
  <c r="W42" i="3"/>
  <c r="T42" i="3"/>
  <c r="S42" i="3"/>
  <c r="R42" i="3"/>
  <c r="P42" i="3"/>
  <c r="O42" i="3"/>
  <c r="Q95" i="3"/>
  <c r="E105" i="3"/>
  <c r="J71" i="1"/>
  <c r="I41" i="2"/>
  <c r="H41" i="2"/>
  <c r="W41" i="3"/>
  <c r="R41" i="3"/>
  <c r="J41" i="3"/>
  <c r="I41" i="3"/>
  <c r="F13" i="1"/>
  <c r="H41" i="3"/>
  <c r="G41" i="3"/>
  <c r="Y41" i="3"/>
  <c r="X41" i="3"/>
  <c r="V41" i="3"/>
  <c r="U41" i="3"/>
  <c r="T41" i="3"/>
  <c r="P41" i="3"/>
  <c r="O41" i="3"/>
  <c r="N41" i="3"/>
  <c r="M41" i="3"/>
  <c r="L41" i="3"/>
  <c r="K41" i="3"/>
  <c r="F41" i="3"/>
  <c r="Q41" i="3"/>
  <c r="Z41" i="3"/>
  <c r="S41" i="3"/>
  <c r="H110" i="2"/>
  <c r="I110" i="2"/>
  <c r="G72" i="1"/>
  <c r="F110" i="3"/>
  <c r="Z110" i="3"/>
  <c r="X110" i="3"/>
  <c r="U110" i="3"/>
  <c r="V110" i="3"/>
  <c r="O110" i="3"/>
  <c r="R110" i="3"/>
  <c r="Q110" i="3"/>
  <c r="N110" i="3"/>
  <c r="M110" i="3"/>
  <c r="L110" i="3"/>
  <c r="Y110" i="3"/>
  <c r="W110" i="3"/>
  <c r="K110" i="3"/>
  <c r="T110" i="3"/>
  <c r="S110" i="3"/>
  <c r="P110" i="3"/>
  <c r="I110" i="3"/>
  <c r="H110" i="3"/>
  <c r="G110" i="3"/>
  <c r="J110" i="3"/>
  <c r="I5" i="2"/>
  <c r="H5" i="2"/>
  <c r="I128" i="2"/>
  <c r="H128" i="2"/>
  <c r="F18" i="1"/>
  <c r="Y128" i="3"/>
  <c r="O128" i="3"/>
  <c r="L128" i="3"/>
  <c r="U128" i="3"/>
  <c r="P128" i="3"/>
  <c r="G128" i="3"/>
  <c r="I128" i="3"/>
  <c r="Z128" i="3"/>
  <c r="T128" i="3"/>
  <c r="K128" i="3"/>
  <c r="N128" i="3"/>
  <c r="J128" i="3"/>
  <c r="F128" i="3"/>
  <c r="X128" i="3"/>
  <c r="W128" i="3"/>
  <c r="V128" i="3"/>
  <c r="S128" i="3"/>
  <c r="R128" i="3"/>
  <c r="Q128" i="3"/>
  <c r="M128" i="3"/>
  <c r="H128" i="3"/>
  <c r="E28" i="3"/>
  <c r="J49" i="1"/>
  <c r="K95" i="3"/>
  <c r="T95" i="3"/>
  <c r="J5" i="3"/>
  <c r="I129" i="2"/>
  <c r="H129" i="2"/>
  <c r="G76" i="1"/>
  <c r="O129" i="3"/>
  <c r="M129" i="3"/>
  <c r="K129" i="3"/>
  <c r="J129" i="3"/>
  <c r="I129" i="3"/>
  <c r="Z129" i="3"/>
  <c r="T129" i="3"/>
  <c r="Y129" i="3"/>
  <c r="R129" i="3"/>
  <c r="U129" i="3"/>
  <c r="L129" i="3"/>
  <c r="V129" i="3"/>
  <c r="Q129" i="3"/>
  <c r="G129" i="3"/>
  <c r="W129" i="3"/>
  <c r="S129" i="3"/>
  <c r="N129" i="3"/>
  <c r="F129" i="3"/>
  <c r="H129" i="3"/>
  <c r="X129" i="3"/>
  <c r="P129" i="3"/>
  <c r="E129" i="3"/>
  <c r="J76" i="1"/>
  <c r="V95" i="3"/>
  <c r="K5" i="3"/>
  <c r="I96" i="2"/>
  <c r="H96" i="2"/>
  <c r="M96" i="3"/>
  <c r="I96" i="3"/>
  <c r="H96" i="3"/>
  <c r="G96" i="3"/>
  <c r="U96" i="3"/>
  <c r="Y96" i="3"/>
  <c r="S96" i="3"/>
  <c r="X96" i="3"/>
  <c r="T96" i="3"/>
  <c r="R96" i="3"/>
  <c r="N96" i="3"/>
  <c r="K96" i="3"/>
  <c r="J96" i="3"/>
  <c r="L96" i="3"/>
  <c r="Z96" i="3"/>
  <c r="P96" i="3"/>
  <c r="W96" i="3"/>
  <c r="F96" i="3"/>
  <c r="V96" i="3"/>
  <c r="Q96" i="3"/>
  <c r="G68" i="1"/>
  <c r="O96" i="3"/>
  <c r="X95" i="3"/>
  <c r="L5" i="3"/>
  <c r="E110" i="3"/>
  <c r="J72" i="1"/>
  <c r="E128" i="3"/>
  <c r="I18" i="1"/>
  <c r="Y95" i="3"/>
  <c r="M5" i="3"/>
  <c r="O95" i="3"/>
  <c r="E6" i="3"/>
  <c r="J44" i="1"/>
  <c r="I14" i="1"/>
  <c r="E56" i="3"/>
  <c r="P5" i="3"/>
  <c r="E5" i="3"/>
  <c r="I11" i="1"/>
  <c r="B16" i="1"/>
  <c r="E136" i="3"/>
  <c r="J78" i="1"/>
  <c r="I105" i="2"/>
  <c r="H105" i="2"/>
  <c r="G71" i="1"/>
  <c r="N105" i="3"/>
  <c r="J105" i="3"/>
  <c r="I105" i="3"/>
  <c r="Y105" i="3"/>
  <c r="V105" i="3"/>
  <c r="T105" i="3"/>
  <c r="W105" i="3"/>
  <c r="U105" i="3"/>
  <c r="P105" i="3"/>
  <c r="Z105" i="3"/>
  <c r="M105" i="3"/>
  <c r="R105" i="3"/>
  <c r="L105" i="3"/>
  <c r="H105" i="3"/>
  <c r="K105" i="3"/>
  <c r="G105" i="3"/>
  <c r="Q105" i="3"/>
  <c r="O105" i="3"/>
  <c r="X105" i="3"/>
  <c r="S105" i="3"/>
  <c r="F105" i="3"/>
  <c r="P95" i="3"/>
  <c r="I104" i="2"/>
  <c r="H104" i="2"/>
  <c r="O104" i="3"/>
  <c r="N104" i="3"/>
  <c r="M104" i="3"/>
  <c r="I104" i="3"/>
  <c r="X104" i="3"/>
  <c r="G104" i="3"/>
  <c r="R104" i="3"/>
  <c r="P104" i="3"/>
  <c r="F17" i="1"/>
  <c r="L104" i="3"/>
  <c r="K104" i="3"/>
  <c r="H104" i="3"/>
  <c r="F104" i="3"/>
  <c r="Z104" i="3"/>
  <c r="W104" i="3"/>
  <c r="T104" i="3"/>
  <c r="Y104" i="3"/>
  <c r="V104" i="3"/>
  <c r="U104" i="3"/>
  <c r="S104" i="3"/>
  <c r="Q104" i="3"/>
  <c r="J104" i="3"/>
  <c r="S95" i="3"/>
  <c r="S5" i="3"/>
  <c r="Q5" i="3"/>
  <c r="E31" i="3"/>
  <c r="J50" i="1"/>
  <c r="M95" i="3"/>
  <c r="U95" i="3"/>
  <c r="E71" i="3"/>
  <c r="I15" i="1"/>
  <c r="T5" i="3"/>
  <c r="O5" i="3"/>
  <c r="N95" i="3"/>
  <c r="W95" i="3"/>
  <c r="I23" i="2"/>
  <c r="H23" i="2"/>
  <c r="Q23" i="3"/>
  <c r="P23" i="3"/>
  <c r="J23" i="3"/>
  <c r="L23" i="3"/>
  <c r="N23" i="3"/>
  <c r="H23" i="3"/>
  <c r="K23" i="3"/>
  <c r="I23" i="3"/>
  <c r="G23" i="3"/>
  <c r="Z23" i="3"/>
  <c r="F23" i="3"/>
  <c r="U23" i="3"/>
  <c r="Y23" i="3"/>
  <c r="X23" i="3"/>
  <c r="G48" i="1"/>
  <c r="W23" i="3"/>
  <c r="O23" i="3"/>
  <c r="V23" i="3"/>
  <c r="S23" i="3"/>
  <c r="R23" i="3"/>
  <c r="M23" i="3"/>
  <c r="T23" i="3"/>
  <c r="E72" i="3"/>
  <c r="J62" i="1"/>
</calcChain>
</file>

<file path=xl/sharedStrings.xml><?xml version="1.0" encoding="utf-8"?>
<sst xmlns="http://schemas.openxmlformats.org/spreadsheetml/2006/main" count="1896" uniqueCount="990">
  <si>
    <t>SmartRail — Project Dashboard</t>
  </si>
  <si>
    <t>Every figure is a formula. The only cell you ever edit here is the yellow start date in B3.</t>
  </si>
  <si>
    <t>Daily load — hours scheduled per day (amber over 9h)</t>
  </si>
  <si>
    <t>Project start (D1)</t>
  </si>
  <si>
    <t>2026-09-29</t>
  </si>
  <si>
    <t>D1</t>
  </si>
  <si>
    <t>D2</t>
  </si>
  <si>
    <t>D3</t>
  </si>
  <si>
    <t>D4</t>
  </si>
  <si>
    <t>D5</t>
  </si>
  <si>
    <t>D6</t>
  </si>
  <si>
    <t>D7</t>
  </si>
  <si>
    <t>D8</t>
  </si>
  <si>
    <t>D9</t>
  </si>
  <si>
    <t>D10</t>
  </si>
  <si>
    <t>D11</t>
  </si>
  <si>
    <t>D12</t>
  </si>
  <si>
    <t>D13</t>
  </si>
  <si>
    <t>D14</t>
  </si>
  <si>
    <t>D15</t>
  </si>
  <si>
    <t>D16</t>
  </si>
  <si>
    <t>D17</t>
  </si>
  <si>
    <t>D18</t>
  </si>
  <si>
    <t>D19</t>
  </si>
  <si>
    <t>D20</t>
  </si>
  <si>
    <t>D21</t>
  </si>
  <si>
    <t>Today</t>
  </si>
  <si>
    <t>Current day</t>
  </si>
  <si>
    <t>Total days</t>
  </si>
  <si>
    <t>Days to submission</t>
  </si>
  <si>
    <t>Progress</t>
  </si>
  <si>
    <t>Phase rollup</t>
  </si>
  <si>
    <t>Tasks in scope</t>
  </si>
  <si>
    <t>#</t>
  </si>
  <si>
    <t>Phase</t>
  </si>
  <si>
    <t>Days</t>
  </si>
  <si>
    <t>Est h</t>
  </si>
  <si>
    <t>Logged</t>
  </si>
  <si>
    <t>% Done</t>
  </si>
  <si>
    <t>Done</t>
  </si>
  <si>
    <t>1</t>
  </si>
  <si>
    <t>In progress</t>
  </si>
  <si>
    <t>2</t>
  </si>
  <si>
    <t>Blocked</t>
  </si>
  <si>
    <t>3</t>
  </si>
  <si>
    <t>Not started</t>
  </si>
  <si>
    <t>4</t>
  </si>
  <si>
    <t>Deferred</t>
  </si>
  <si>
    <t>5</t>
  </si>
  <si>
    <t>Overall % complete (hour weighted)</t>
  </si>
  <si>
    <t>6</t>
  </si>
  <si>
    <t>Slipped tasks (past due, not done)</t>
  </si>
  <si>
    <t>7</t>
  </si>
  <si>
    <t>Estimated hours in scope</t>
  </si>
  <si>
    <t>8</t>
  </si>
  <si>
    <t>Hours logged</t>
  </si>
  <si>
    <t>Estimate accuracy on completed work</t>
  </si>
  <si>
    <t>Gates</t>
  </si>
  <si>
    <t>Gate</t>
  </si>
  <si>
    <t>Description</t>
  </si>
  <si>
    <t>Day</t>
  </si>
  <si>
    <t>Date</t>
  </si>
  <si>
    <t>Open</t>
  </si>
  <si>
    <t>Status</t>
  </si>
  <si>
    <t>AI usage</t>
  </si>
  <si>
    <t>G1</t>
  </si>
  <si>
    <t>Requirements frozen</t>
  </si>
  <si>
    <t>Logged AI contributions</t>
  </si>
  <si>
    <t>G2</t>
  </si>
  <si>
    <t>Spine runs and CI green</t>
  </si>
  <si>
    <t>Challenge rate</t>
  </si>
  <si>
    <t>G3</t>
  </si>
  <si>
    <t>Feature freeze - no new features</t>
  </si>
  <si>
    <t>AI was wrong (target 8)</t>
  </si>
  <si>
    <t>G4</t>
  </si>
  <si>
    <t>Five E2E flows green</t>
  </si>
  <si>
    <t>Net hours from AI</t>
  </si>
  <si>
    <t>G5</t>
  </si>
  <si>
    <t>Documentation complete</t>
  </si>
  <si>
    <t>G6</t>
  </si>
  <si>
    <t>Submission</t>
  </si>
  <si>
    <t>AI usage evidence — brief §21 coverage</t>
  </si>
  <si>
    <t>§</t>
  </si>
  <si>
    <t>What §21 asks for</t>
  </si>
  <si>
    <t>Evidence lives on</t>
  </si>
  <si>
    <t>Have</t>
  </si>
  <si>
    <t>Target</t>
  </si>
  <si>
    <t>Which AI tools or agents you used</t>
  </si>
  <si>
    <t>AI Policy</t>
  </si>
  <si>
    <t>What responsibilities were assigned to them</t>
  </si>
  <si>
    <t>Important prompts or workflows</t>
  </si>
  <si>
    <t>Prompt Library</t>
  </si>
  <si>
    <t>How their output was validated</t>
  </si>
  <si>
    <t>AI Usage Log + AI Policy</t>
  </si>
  <si>
    <t>Examples where AI output was incorrect or insufficient</t>
  </si>
  <si>
    <t>AI Failures</t>
  </si>
  <si>
    <t>Examples where your own judgment improved the result</t>
  </si>
  <si>
    <t>AI Usage Log + AI Failures</t>
  </si>
  <si>
    <t>AI implementation you significantly modified, and why</t>
  </si>
  <si>
    <t>Modified Impl</t>
  </si>
  <si>
    <t>Work packages — titles and subtask progress</t>
  </si>
  <si>
    <t>WBS</t>
  </si>
  <si>
    <t>Work package (title)</t>
  </si>
  <si>
    <t>Subtasks</t>
  </si>
  <si>
    <t>1.1</t>
  </si>
  <si>
    <t>1.2</t>
  </si>
  <si>
    <t>1.3</t>
  </si>
  <si>
    <t>1.4</t>
  </si>
  <si>
    <t>1.5</t>
  </si>
  <si>
    <t>2.1</t>
  </si>
  <si>
    <t>2.2</t>
  </si>
  <si>
    <t>2.3</t>
  </si>
  <si>
    <t>2.4</t>
  </si>
  <si>
    <t>3.1</t>
  </si>
  <si>
    <t>3.2</t>
  </si>
  <si>
    <t>3.3</t>
  </si>
  <si>
    <t>3.4</t>
  </si>
  <si>
    <t>4.1</t>
  </si>
  <si>
    <t>4.2</t>
  </si>
  <si>
    <t>4.3</t>
  </si>
  <si>
    <t>4.4</t>
  </si>
  <si>
    <t>4.5</t>
  </si>
  <si>
    <t>5.1</t>
  </si>
  <si>
    <t>5.2</t>
  </si>
  <si>
    <t>5.3</t>
  </si>
  <si>
    <t>5.4</t>
  </si>
  <si>
    <t>5.5</t>
  </si>
  <si>
    <t>5.6</t>
  </si>
  <si>
    <t>6.1</t>
  </si>
  <si>
    <t>6.2</t>
  </si>
  <si>
    <t>6.3</t>
  </si>
  <si>
    <t>7.1</t>
  </si>
  <si>
    <t>7.2</t>
  </si>
  <si>
    <t>7.3</t>
  </si>
  <si>
    <t>7.4</t>
  </si>
  <si>
    <t>7.5</t>
  </si>
  <si>
    <t>8.1</t>
  </si>
  <si>
    <t>8.2</t>
  </si>
  <si>
    <t>8.3</t>
  </si>
  <si>
    <t>8.4</t>
  </si>
  <si>
    <t>SmartRail — Work Breakdown Structure</t>
  </si>
  <si>
    <t>EDIT ONLY the blue columns: Day, Dur, Est h, Act h, Status, Notes. Everything black is a formula. Phase (level 1) and work-package (level 2) rows roll up automatically from their tasks.</t>
  </si>
  <si>
    <t>Lvl</t>
  </si>
  <si>
    <t>Work item</t>
  </si>
  <si>
    <t>WS</t>
  </si>
  <si>
    <t>Start</t>
  </si>
  <si>
    <t>End</t>
  </si>
  <si>
    <t>Dur</t>
  </si>
  <si>
    <t>Act h</t>
  </si>
  <si>
    <t>Traces</t>
  </si>
  <si>
    <t>Definition of done</t>
  </si>
  <si>
    <t>Notes / blocker</t>
  </si>
  <si>
    <t>_parent</t>
  </si>
  <si>
    <t>_root</t>
  </si>
  <si>
    <t>_endday</t>
  </si>
  <si>
    <t>_den</t>
  </si>
  <si>
    <t>_num</t>
  </si>
  <si>
    <t>_act</t>
  </si>
  <si>
    <t>_startday</t>
  </si>
  <si>
    <t>_l3end</t>
  </si>
  <si>
    <t>Discovery</t>
  </si>
  <si>
    <t xml:space="preserve">    Brief analysis and gap discovery</t>
  </si>
  <si>
    <t>1.1.1</t>
  </si>
  <si>
    <t xml:space="preserve">        Decompose brief into atomic statements tagged GIVEN / IMPLIED / ABSENT</t>
  </si>
  <si>
    <t>REQ</t>
  </si>
  <si>
    <t>To do</t>
  </si>
  <si>
    <t>brief all sections</t>
  </si>
  <si>
    <t>One statement per brief sentence, each tagged</t>
  </si>
  <si>
    <t>1.1.2</t>
  </si>
  <si>
    <t xml:space="preserve">        Convert plan section 6 findings into REQ / ASM / EDG / OQ entries</t>
  </si>
  <si>
    <t>plan.md S6</t>
  </si>
  <si>
    <t>All 59 findings carry an id and a type</t>
  </si>
  <si>
    <t>1.1.3</t>
  </si>
  <si>
    <t xml:space="preserve">        Assumptions register with rationale</t>
  </si>
  <si>
    <t>Every ASM states what breaks if it is wrong</t>
  </si>
  <si>
    <t xml:space="preserve">    Stakeholder simulation</t>
  </si>
  <si>
    <t>1.2.1</t>
  </si>
  <si>
    <t xml:space="preserve">        Persona interviews 1-6 commuter, traveller, impaired passenger, driver, station manager, controller</t>
  </si>
  <si>
    <t>Transcript plus extracted requirements per persona</t>
  </si>
  <si>
    <t>1.2.2</t>
  </si>
  <si>
    <t xml:space="preserve">        Persona interviews 7-12 CS agent, catering ops, security, QA, accessibility, DPO</t>
  </si>
  <si>
    <t>1.2.3</t>
  </si>
  <si>
    <t xml:space="preserve">        Adversarial pass - what would make each persona distrust the system</t>
  </si>
  <si>
    <t>Failure requirements captured as EDG entries</t>
  </si>
  <si>
    <t>1.2.4</t>
  </si>
  <si>
    <t xml:space="preserve">        Reconcile conflicts and record the losing option in writing</t>
  </si>
  <si>
    <t>No averaged requirements - conflicts resolved by me, both sides recorded</t>
  </si>
  <si>
    <t xml:space="preserve">    Requirement engineering</t>
  </si>
  <si>
    <t>1.3.1</t>
  </si>
  <si>
    <t xml:space="preserve">        Edge case catalogue target 40 plus entries</t>
  </si>
  <si>
    <t>EDG ids assigned</t>
  </si>
  <si>
    <t>1.3.2</t>
  </si>
  <si>
    <t xml:space="preserve">        Prioritise MoSCoW plus risk times value score</t>
  </si>
  <si>
    <t>Every Must maps to one of the five E2E flows</t>
  </si>
  <si>
    <t>1.3.3</t>
  </si>
  <si>
    <t xml:space="preserve">        User stories and acceptance criteria for all Must items</t>
  </si>
  <si>
    <t>Given/When/Then for each AC</t>
  </si>
  <si>
    <t>1.3.4</t>
  </si>
  <si>
    <t xml:space="preserve">        Traceability matrix skeleton REQ to US to AC to test</t>
  </si>
  <si>
    <t>One row per requirement, test column present but empty</t>
  </si>
  <si>
    <t xml:space="preserve">    Scope control</t>
  </si>
  <si>
    <t>1.4.1</t>
  </si>
  <si>
    <t xml:space="preserve">        Send open questions OQ-01 to OQ-08 to assessors</t>
  </si>
  <si>
    <t>plan.md S20</t>
  </si>
  <si>
    <t>Sent, with fallback assumption recorded for each</t>
  </si>
  <si>
    <t>1.4.2</t>
  </si>
  <si>
    <t xml:space="preserve">        Baseline scope and freeze requirements</t>
  </si>
  <si>
    <t>Scope signed off by me, change log opened</t>
  </si>
  <si>
    <t xml:space="preserve">    Project setup</t>
  </si>
  <si>
    <t>1.5.1</t>
  </si>
  <si>
    <t xml:space="preserve">        Author master delivery plan</t>
  </si>
  <si>
    <t>DOC</t>
  </si>
  <si>
    <t>plan.md</t>
  </si>
  <si>
    <t>Stack decided, scope fixed, 59 gaps registered</t>
  </si>
  <si>
    <t>1.5.2</t>
  </si>
  <si>
    <t xml:space="preserve">        Create repo and docs folder skeleton</t>
  </si>
  <si>
    <t>ARCH</t>
  </si>
  <si>
    <t>docs/00 to 06 present, git initialised</t>
  </si>
  <si>
    <t>1.5.3</t>
  </si>
  <si>
    <t xml:space="preserve">        Set up tracking workbook and git commit template</t>
  </si>
  <si>
    <t>Workbook live, commit.template configured</t>
  </si>
  <si>
    <t>Design and Decide</t>
  </si>
  <si>
    <t xml:space="preserve">    Domain design</t>
  </si>
  <si>
    <t>2.1.1</t>
  </si>
  <si>
    <t xml:space="preserve">        Domain model - network, timetable versions, service calendars</t>
  </si>
  <si>
    <t>Service date separated from calendar date</t>
  </si>
  <si>
    <t>2.1.2</t>
  </si>
  <si>
    <t xml:space="preserve">        Journey state machine including Unknown and TerminatedShort</t>
  </si>
  <si>
    <t>Diagram plus the invariant list that becomes unit tests</t>
  </si>
  <si>
    <t xml:space="preserve">    Architecture decisions</t>
  </si>
  <si>
    <t>2.2.1</t>
  </si>
  <si>
    <t xml:space="preserve">        Write ADR 0001 to 0008</t>
  </si>
  <si>
    <t>Each ADR names the rejected option and why</t>
  </si>
  <si>
    <t>2.2.2</t>
  </si>
  <si>
    <t xml:space="preserve">        C4 context and container diagrams</t>
  </si>
  <si>
    <t>Two levels, committed as source</t>
  </si>
  <si>
    <t xml:space="preserve">    Security design</t>
  </si>
  <si>
    <t>2.3.1</t>
  </si>
  <si>
    <t xml:space="preserve">        STRIDE threat model per trust boundary</t>
  </si>
  <si>
    <t>SEC</t>
  </si>
  <si>
    <t>Five boundaries covered, each risk mapped to a control</t>
  </si>
  <si>
    <t>2.3.2</t>
  </si>
  <si>
    <t xml:space="preserve">        Permission matrix for ten roles with scoped permissions</t>
  </si>
  <si>
    <t>Every cell has a planned positive and negative test</t>
  </si>
  <si>
    <t>2.3.3</t>
  </si>
  <si>
    <t xml:space="preserve">        Data classification and retention schedule</t>
  </si>
  <si>
    <t>Four classes, owner, retention and log-redaction rule each</t>
  </si>
  <si>
    <t xml:space="preserve">    Design system</t>
  </si>
  <si>
    <t>2.4.1</t>
  </si>
  <si>
    <t xml:space="preserve">        Design tokens v1 - colour, status semantics, three type scales</t>
  </si>
  <si>
    <t>UX</t>
  </si>
  <si>
    <t>Status never colour-only; contrast verified</t>
  </si>
  <si>
    <t>2.4.2</t>
  </si>
  <si>
    <t xml:space="preserve">        Wireframe the six demo-critical screens</t>
  </si>
  <si>
    <t>Includes stale and offline states</t>
  </si>
  <si>
    <t>Backend Spine</t>
  </si>
  <si>
    <t xml:space="preserve">    Solution foundation</t>
  </si>
  <si>
    <t>3.1.1</t>
  </si>
  <si>
    <t xml:space="preserve">        Scaffold .NET solution Domain, Application, Infrastructure, Api</t>
  </si>
  <si>
    <t>BE</t>
  </si>
  <si>
    <t>Domain has zero framework references</t>
  </si>
  <si>
    <t>3.1.2</t>
  </si>
  <si>
    <t xml:space="preserve">        EF Core model and first migration</t>
  </si>
  <si>
    <t>Migration applies clean</t>
  </si>
  <si>
    <t>3.1.3</t>
  </si>
  <si>
    <t xml:space="preserve">        Seed network - 12 stations, 6 routes, 40 services</t>
  </si>
  <si>
    <t>Deterministic seed, re-runnable</t>
  </si>
  <si>
    <t xml:space="preserve">    Identity foundation</t>
  </si>
  <si>
    <t>3.2.1</t>
  </si>
  <si>
    <t xml:space="preserve">        JWT per-audience tokens and permission claims</t>
  </si>
  <si>
    <t>Four auth postures demonstrable</t>
  </si>
  <si>
    <t xml:space="preserve">    Network and Timetable module</t>
  </si>
  <si>
    <t>3.3.1</t>
  </si>
  <si>
    <t xml:space="preserve">        Read endpoints - stations, departures, routes</t>
  </si>
  <si>
    <t>Public, rate limited, cached, p95 under 300ms</t>
  </si>
  <si>
    <t>3.3.2</t>
  </si>
  <si>
    <t xml:space="preserve">        Timetable admin writes with draft, publish, supersede</t>
  </si>
  <si>
    <t>Published version immutable</t>
  </si>
  <si>
    <t>3.3.3</t>
  </si>
  <si>
    <t xml:space="preserve">        OpenAPI document and generated typed clients</t>
  </si>
  <si>
    <t>Web and mobile clients generated</t>
  </si>
  <si>
    <t xml:space="preserve">    Engineering platform</t>
  </si>
  <si>
    <t>3.4.1</t>
  </si>
  <si>
    <t xml:space="preserve">        Docker compose api, db, redis, seq plus Flutter toolchain smoke test</t>
  </si>
  <si>
    <t>OPS</t>
  </si>
  <si>
    <t>One command up; emulator and FCM proven early - risk R3</t>
  </si>
  <si>
    <t>3.4.2</t>
  </si>
  <si>
    <t xml:space="preserve">        First domain unit tests and IClock abstraction</t>
  </si>
  <si>
    <t>QA</t>
  </si>
  <si>
    <t>Time injectable everywhere - prerequisite for all later tests</t>
  </si>
  <si>
    <t>3.4.3</t>
  </si>
  <si>
    <t xml:space="preserve">        GitHub Actions - build, unit, integration, architecture tests</t>
  </si>
  <si>
    <t>Green run on a clean checkout</t>
  </si>
  <si>
    <t>Live Core</t>
  </si>
  <si>
    <t xml:space="preserve">    Journey and telemetry</t>
  </si>
  <si>
    <t>4.1.1</t>
  </si>
  <si>
    <t xml:space="preserve">        Journey generation from timetable with service-date handling</t>
  </si>
  <si>
    <t>23:50 to 00:35 service resolves to the correct service day</t>
  </si>
  <si>
    <t>4.1.2</t>
  </si>
  <si>
    <t xml:space="preserve">        Telemetry ingestion - sequence, idempotency, plausibility rejection</t>
  </si>
  <si>
    <t>Duplicate, out-of-order and impossible pings rejected with a logged reason</t>
  </si>
  <si>
    <t xml:space="preserve">    ETA engine</t>
  </si>
  <si>
    <t>4.2.1</t>
  </si>
  <si>
    <t xml:space="preserve">        ETA propagation - offset plus dwell model with confidence levels</t>
  </si>
  <si>
    <t>Every estimate carries source and confidence</t>
  </si>
  <si>
    <t>4.2.2</t>
  </si>
  <si>
    <t xml:space="preserve">        Redis journey progress projection</t>
  </si>
  <si>
    <t>Hot path off the Postgres write path</t>
  </si>
  <si>
    <t xml:space="preserve">    Realtime distribution</t>
  </si>
  <si>
    <t>4.3.1</t>
  </si>
  <si>
    <t xml:space="preserve">        SignalR hub - snapshot then delta, jittered reconnect</t>
  </si>
  <si>
    <t>200 reconnects do not storm the API</t>
  </si>
  <si>
    <t>4.3.2</t>
  </si>
  <si>
    <t xml:space="preserve">        Notification outbox with dedup and throttle rules</t>
  </si>
  <si>
    <t>Six delays produce one push, not six</t>
  </si>
  <si>
    <t xml:space="preserve">    Disruptions</t>
  </si>
  <si>
    <t>4.4.1</t>
  </si>
  <si>
    <t xml:space="preserve">        Disruptions module - publish, update, retract, scope, reason codes</t>
  </si>
  <si>
    <t>Retraction is a distinct operation from update</t>
  </si>
  <si>
    <t>4.4.2</t>
  </si>
  <si>
    <t xml:space="preserve">        Append-only audit trail for high-consequence actions</t>
  </si>
  <si>
    <t>Actor, reason, before and after on cancel and publish</t>
  </si>
  <si>
    <t xml:space="preserve">    Test instrumentation</t>
  </si>
  <si>
    <t>4.5.1</t>
  </si>
  <si>
    <t xml:space="preserve">        Journey simulator with six seeded scenarios</t>
  </si>
  <si>
    <t>on-time, delay, skip-stop, terminate-short, blackout, cancel</t>
  </si>
  <si>
    <t>Client Applications</t>
  </si>
  <si>
    <t xml:space="preserve">    Ops console core</t>
  </si>
  <si>
    <t>5.1.1</t>
  </si>
  <si>
    <t xml:space="preserve">        Shell, auth, routing and layout</t>
  </si>
  <si>
    <t>WEB</t>
  </si>
  <si>
    <t>Permission-aware navigation</t>
  </si>
  <si>
    <t>5.1.2</t>
  </si>
  <si>
    <t xml:space="preserve">        Live Network Board with realtime deltas and filters</t>
  </si>
  <si>
    <t>Updates without refresh; stale state visible</t>
  </si>
  <si>
    <t>5.1.3</t>
  </si>
  <si>
    <t xml:space="preserve">        Timetable and Journeys screen with per-journey actions</t>
  </si>
  <si>
    <t>Cancel, terminate short, platform change - all with reason codes</t>
  </si>
  <si>
    <t xml:space="preserve">    Ops console operational tools</t>
  </si>
  <si>
    <t>5.2.1</t>
  </si>
  <si>
    <t xml:space="preserve">        Disruption Console with passenger preview and network-wide confirm gate</t>
  </si>
  <si>
    <t>Operator sees exactly what passengers will see before publishing</t>
  </si>
  <si>
    <t>5.2.2</t>
  </si>
  <si>
    <t xml:space="preserve">        Station and Device Health with heartbeat and revoke</t>
  </si>
  <si>
    <t>A dead display is visible within 60 seconds</t>
  </si>
  <si>
    <t>5.2.3</t>
  </si>
  <si>
    <t xml:space="preserve">        Punctuality report with export</t>
  </si>
  <si>
    <t>OTP by service, route and day</t>
  </si>
  <si>
    <t xml:space="preserve">    Station kiosk display</t>
  </si>
  <si>
    <t>5.3.1</t>
  </si>
  <si>
    <t xml:space="preserve">        Display mode - platform and concourse boards</t>
  </si>
  <si>
    <t>KIOSK</t>
  </si>
  <si>
    <t>Legible at 5 to 10 metres; delay shown as a delta</t>
  </si>
  <si>
    <t>5.3.2</t>
  </si>
  <si>
    <t xml:space="preserve">        Service worker last-known-good snapshot and staleness banner</t>
  </si>
  <si>
    <t>Offline board never implies freshness</t>
  </si>
  <si>
    <t xml:space="preserve">    Mobile foundation</t>
  </si>
  <si>
    <t>5.4.1</t>
  </si>
  <si>
    <t xml:space="preserve">        Flutter melos monorepo - core, design_system, api_client packages</t>
  </si>
  <si>
    <t>MOB</t>
  </si>
  <si>
    <t>Both apps build from shared packages</t>
  </si>
  <si>
    <t>5.4.2</t>
  </si>
  <si>
    <t xml:space="preserve">        Design token codegen - tokens.json to Dart and CSS</t>
  </si>
  <si>
    <t>One source of truth, no drift between React and Flutter</t>
  </si>
  <si>
    <t xml:space="preserve">    Passenger application</t>
  </si>
  <si>
    <t>5.5.1</t>
  </si>
  <si>
    <t xml:space="preserve">        Plan and station departures screens</t>
  </si>
  <si>
    <t>Three-second glanceability</t>
  </si>
  <si>
    <t>5.5.2</t>
  </si>
  <si>
    <t xml:space="preserve">        Journey detail with live progress and confidence chip</t>
  </si>
  <si>
    <t>Scheduled vs live vs confirmed visually distinct</t>
  </si>
  <si>
    <t>5.5.3</t>
  </si>
  <si>
    <t xml:space="preserve">        Follow a journey - subscriptions, preferences, quiet hours</t>
  </si>
  <si>
    <t>Opt-in, revocable</t>
  </si>
  <si>
    <t>5.5.4</t>
  </si>
  <si>
    <t xml:space="preserve">        Push notifications via FCM with dedup verification</t>
  </si>
  <si>
    <t>Throttling proven by test, not by inspection</t>
  </si>
  <si>
    <t xml:space="preserve">    Driver application</t>
  </si>
  <si>
    <t>5.6.1</t>
  </si>
  <si>
    <t xml:space="preserve">        Duty roster and sign-on</t>
  </si>
  <si>
    <t>Short session, re-auth on sensitive action</t>
  </si>
  <si>
    <t>5.6.2</t>
  </si>
  <si>
    <t xml:space="preserve">        Active journey glanceable stop list</t>
  </si>
  <si>
    <t>Readable with gloves, in glare, no typing while moving</t>
  </si>
  <si>
    <t>5.6.3</t>
  </si>
  <si>
    <t xml:space="preserve">        Stop confirm with Drift offline queue and replay</t>
  </si>
  <si>
    <t>Queue survives app kill; device and server time both recorded</t>
  </si>
  <si>
    <t>External Integration</t>
  </si>
  <si>
    <t xml:space="preserve">    RailBite external platform</t>
  </si>
  <si>
    <t>6.1.1</t>
  </si>
  <si>
    <t xml:space="preserve">        Node app - menu, stock, station eligibility, order lifecycle</t>
  </si>
  <si>
    <t>INT</t>
  </si>
  <si>
    <t>Own database; owns menu, price and payment</t>
  </si>
  <si>
    <t xml:space="preserve">    Integration contract</t>
  </si>
  <si>
    <t>6.2.1</t>
  </si>
  <si>
    <t xml:space="preserve">        Outbound reference and ETA feed with API key auth</t>
  </si>
  <si>
    <t>Minimum payload - no passenger identity</t>
  </si>
  <si>
    <t>6.2.2</t>
  </si>
  <si>
    <t xml:space="preserve">        Inbound HMAC signed webhooks with replay window and idempotency</t>
  </si>
  <si>
    <t>Duplicate delivery is a no-op</t>
  </si>
  <si>
    <t>6.2.3</t>
  </si>
  <si>
    <t xml:space="preserve">        Outbox retry, backoff, circuit breaker and dead letter queue</t>
  </si>
  <si>
    <t>Provider outage does not lose an event</t>
  </si>
  <si>
    <t xml:space="preserve">    Passenger ordering</t>
  </si>
  <si>
    <t>6.3.1</t>
  </si>
  <si>
    <t xml:space="preserve">        Food ordering UI over the external menu</t>
  </si>
  <si>
    <t>Stock-out and price change at confirm handled gracefully</t>
  </si>
  <si>
    <t>Harden and Prove</t>
  </si>
  <si>
    <t xml:space="preserve">    Completeness</t>
  </si>
  <si>
    <t>7.1.1</t>
  </si>
  <si>
    <t xml:space="preserve">        Kiosk terminal mode - search, route explore, station info, idle reset</t>
  </si>
  <si>
    <t>No session left behind after idle timeout</t>
  </si>
  <si>
    <t>7.1.2</t>
  </si>
  <si>
    <t xml:space="preserve">        Empty, loading, stale, error and offline states across all 19 screens</t>
  </si>
  <si>
    <t>Five states designed, not improvised</t>
  </si>
  <si>
    <t>7.1.3</t>
  </si>
  <si>
    <t xml:space="preserve">        Nightly order state reconciliation job</t>
  </si>
  <si>
    <t>Disagreements with the provider are detected and reported</t>
  </si>
  <si>
    <t>7.1.4</t>
  </si>
  <si>
    <t xml:space="preserve">        i18n scaffolding and secondary language for passenger and display</t>
  </si>
  <si>
    <t>Text expansion does not break the departures list</t>
  </si>
  <si>
    <t xml:space="preserve">    Test automation</t>
  </si>
  <si>
    <t>7.2.1</t>
  </si>
  <si>
    <t xml:space="preserve">        E2E 1 - passenger follows a delayed train end to end</t>
  </si>
  <si>
    <t>Green in CI, deterministic</t>
  </si>
  <si>
    <t>7.2.2</t>
  </si>
  <si>
    <t xml:space="preserve">        E2E 2 - driver confirms offline and it reconciles</t>
  </si>
  <si>
    <t>Includes app restart mid-queue</t>
  </si>
  <si>
    <t>7.2.3</t>
  </si>
  <si>
    <t xml:space="preserve">        E2E 3 - ops cancels a running journey and it propagates</t>
  </si>
  <si>
    <t>Audit entry asserted as part of the test</t>
  </si>
  <si>
    <t>7.2.4</t>
  </si>
  <si>
    <t xml:space="preserve">        E2E 4 - food order across the external boundary</t>
  </si>
  <si>
    <t>Includes one forced provider failure</t>
  </si>
  <si>
    <t>7.2.5</t>
  </si>
  <si>
    <t xml:space="preserve">        E2E 5 - display survives connectivity loss honestly</t>
  </si>
  <si>
    <t>Asserts the staleness banner, not just the data</t>
  </si>
  <si>
    <t>7.2.6</t>
  </si>
  <si>
    <t xml:space="preserve">        Consumer-driven contract tests both directions</t>
  </si>
  <si>
    <t>A provider API change fails CI, not the demo</t>
  </si>
  <si>
    <t xml:space="preserve">    Security testing</t>
  </si>
  <si>
    <t>7.3.1</t>
  </si>
  <si>
    <t xml:space="preserve">        Authorization negative suite - IDOR, cross-station edit, role escalation</t>
  </si>
  <si>
    <t>Every permission-matrix cell has a negative test</t>
  </si>
  <si>
    <t>7.3.2</t>
  </si>
  <si>
    <t xml:space="preserve">        ZAP baseline scan and triage</t>
  </si>
  <si>
    <t>No high severity unresolved</t>
  </si>
  <si>
    <t>7.3.3</t>
  </si>
  <si>
    <t xml:space="preserve">        Dependency and secret scanning gates in CI</t>
  </si>
  <si>
    <t>Build fails on a known critical CVE</t>
  </si>
  <si>
    <t>7.3.4</t>
  </si>
  <si>
    <t xml:space="preserve">        Fix or formally accept every security finding in writing</t>
  </si>
  <si>
    <t>Accepted risks have a named reason and owner</t>
  </si>
  <si>
    <t xml:space="preserve">    Accessibility</t>
  </si>
  <si>
    <t>7.4.1</t>
  </si>
  <si>
    <t xml:space="preserve">        axe, keyboard, screen reader, contrast and dynamic type pass</t>
  </si>
  <si>
    <t>Zero critical violations on passenger, terminal and display</t>
  </si>
  <si>
    <t>7.4.2</t>
  </si>
  <si>
    <t xml:space="preserve">        Display legibility verification at five to ten metres</t>
  </si>
  <si>
    <t>Photographed evidence at distance</t>
  </si>
  <si>
    <t xml:space="preserve">    Observability</t>
  </si>
  <si>
    <t>7.5.1</t>
  </si>
  <si>
    <t xml:space="preserve">        OpenTelemetry dashboards - network, integration and device health</t>
  </si>
  <si>
    <t>Correlation id traced SmartRail to RailBite</t>
  </si>
  <si>
    <t>7.5.2</t>
  </si>
  <si>
    <t xml:space="preserve">        Runbook, SLO document and alert definitions</t>
  </si>
  <si>
    <t>Top five incidents have steps</t>
  </si>
  <si>
    <t>Evidence and Demo</t>
  </si>
  <si>
    <t xml:space="preserve">    Documentation consolidation</t>
  </si>
  <si>
    <t>8.1.1</t>
  </si>
  <si>
    <t xml:space="preserve">        Finalise traceability matrix REQ to test coverage</t>
  </si>
  <si>
    <t>Every Must requirement has a test id</t>
  </si>
  <si>
    <t>8.1.2</t>
  </si>
  <si>
    <t xml:space="preserve">        Consolidate ADRs and architecture documentation</t>
  </si>
  <si>
    <t>15 ADRs complete</t>
  </si>
  <si>
    <t>8.1.3</t>
  </si>
  <si>
    <t xml:space="preserve">        Quality assessment including known weaknesses</t>
  </si>
  <si>
    <t>Honest - names what is weak and why</t>
  </si>
  <si>
    <t>8.1.4</t>
  </si>
  <si>
    <t xml:space="preserve">        Data and privacy document with classification and rights</t>
  </si>
  <si>
    <t>Retention and redaction stated</t>
  </si>
  <si>
    <t xml:space="preserve">    AI usage pack</t>
  </si>
  <si>
    <t>8.2.1</t>
  </si>
  <si>
    <t xml:space="preserve">        Assemble journal, prompt library and ai-was-wrong entries</t>
  </si>
  <si>
    <t>At least eight validated AI-was-wrong entries with evidence</t>
  </si>
  <si>
    <t xml:space="preserve">    Demonstration</t>
  </si>
  <si>
    <t>8.3.1</t>
  </si>
  <si>
    <t xml:space="preserve">        Deterministic demo seed scenario and narrative script</t>
  </si>
  <si>
    <t>Same result every run</t>
  </si>
  <si>
    <t>8.3.2</t>
  </si>
  <si>
    <t xml:space="preserve">        Rehearse the full demo twice end to end</t>
  </si>
  <si>
    <t>Two clean passes</t>
  </si>
  <si>
    <t>8.3.3</t>
  </si>
  <si>
    <t xml:space="preserve">        Record fallback demo video</t>
  </si>
  <si>
    <t>Covers the whole narrative</t>
  </si>
  <si>
    <t>8.3.4</t>
  </si>
  <si>
    <t xml:space="preserve">        Verify clean checkout to running system from README</t>
  </si>
  <si>
    <t>Fresh clone to running stack, timed</t>
  </si>
  <si>
    <t xml:space="preserve">    Closeout</t>
  </si>
  <si>
    <t>8.4.1</t>
  </si>
  <si>
    <t xml:space="preserve">        Buffer for slipped work</t>
  </si>
  <si>
    <t>Explicitly spent or explicitly unused</t>
  </si>
  <si>
    <t>8.4.2</t>
  </si>
  <si>
    <t xml:space="preserve">        Final presentation deck and engineering story</t>
  </si>
  <si>
    <t>Story, not a screen tour</t>
  </si>
  <si>
    <t>8.4.3</t>
  </si>
  <si>
    <t xml:space="preserve">        Final review and submission</t>
  </si>
  <si>
    <t>Submitted</t>
  </si>
  <si>
    <t>SmartRail — Gantt</t>
  </si>
  <si>
    <t>Fully generated from the WBS sheet. Nothing to edit here. Bars: blue = planned, amber = in progress, green = done, red = blocked.</t>
  </si>
  <si>
    <t>AI Usage Policy</t>
  </si>
  <si>
    <t>Answers brief §21 bullets 1 and 2 (which tools, what responsibilities) and carries the justification for every tool choice. Written once, revised only with a dated note.</t>
  </si>
  <si>
    <t>Governing principle</t>
  </si>
  <si>
    <t>Authoring and review are deliberately split across different models. The model that produced an artifact does not review it, because a single model's blind spot is invisible to itself — it will defend its own reasoning. Cross-model review is the cheapest available substitute for a second engineer, and the disagreements it produces are the most useful output: every one is logged, and resolved by me in writing rather than by averaging the two answers.</t>
  </si>
  <si>
    <t>1. Tool registry</t>
  </si>
  <si>
    <t>Tool</t>
  </si>
  <si>
    <t>Access / model</t>
  </si>
  <si>
    <t>Assigned responsibilities</t>
  </si>
  <si>
    <t>Why this tool for this work (justification)</t>
  </si>
  <si>
    <t>Explicitly NOT used for</t>
  </si>
  <si>
    <t>How its output is validated</t>
  </si>
  <si>
    <t>ChatGPT</t>
  </si>
  <si>
    <t>GPT, web + chat</t>
  </si>
  <si>
    <t>Requirement engineering: brief decomposition, stakeholder persona simulation, discovery-finding enumeration, document structuring.</t>
  </si>
  <si>
    <t>Chosen for the RE phase because it sustains a long structured document process across many turns and holds a framework consistently. The RE output is prose and structure, not code, so agentic file access adds nothing here.</t>
  </si>
  <si>
    <t>Code generation, architecture decisions, security review — keeps a clean attribution boundary between RE and build phases.</t>
  </si>
  <si>
    <t>Every generated requirement must trace to a brief line or be labelled my assumption. Persona conflicts are reconciled by me, never averaged.</t>
  </si>
  <si>
    <t>Gemini</t>
  </si>
  <si>
    <t>Gemini, chat</t>
  </si>
  <si>
    <t>Independent cross-check: reviews artifacts authored by the other two tools, competitive and market analysis of existing railway apps, standards and accessibility lookup, second opinion on the domain model.</t>
  </si>
  <si>
    <t>Used as the reviewer precisely because it did NOT author the artifact. Large context makes it suitable for 'read this whole requirements doc and tell me what is missing'. Independence is the point, so it is kept out of authoring.</t>
  </si>
  <si>
    <t>Primary authoring of requirements, code or documents — that would destroy its value as an independent reviewer.</t>
  </si>
  <si>
    <t>Findings are triaged by me; false positives are logged too, because a reviewer's noise rate is itself evidence about how much to trust it.</t>
  </si>
  <si>
    <t>Claude Code</t>
  </si>
  <si>
    <t>Claude, agentic CLI in the repo</t>
  </si>
  <si>
    <t>Implementation, test generation, refactoring, code review, threat modelling, and the project tracking automation.</t>
  </si>
  <si>
    <t>Operates on files in the repository, so changes are applied and verified in place rather than copy-pasted from a chat window — which removes a whole class of transcription error. Strong at multi-file reasoning across the .NET, React and Flutter codebases.</t>
  </si>
  <si>
    <t>Merging anything unreviewed; final requirement sign-off.</t>
  </si>
  <si>
    <t>Must compile, tests must pass, AND I write an explain-back note before merge (brief §28 — I can be asked to explain any line).</t>
  </si>
  <si>
    <t>Claude (chat)</t>
  </si>
  <si>
    <t>Claude, chat</t>
  </si>
  <si>
    <t>Architecture option analysis, ADR drafting, scope and plan critique.</t>
  </si>
  <si>
    <t>Used where the task is judgment rather than file editing — weighing options and arguing against my own plan. Separate from Claude Code so the tracking stays honest about which mode produced what.</t>
  </si>
  <si>
    <t>Writing code into the repository.</t>
  </si>
  <si>
    <t>I make the decision; the ADR records the rejected option and why.</t>
  </si>
  <si>
    <t>GitHub Copilot</t>
  </si>
  <si>
    <t>not used</t>
  </si>
  <si>
    <t>—</t>
  </si>
  <si>
    <t>Deliberately not used. Inline autocomplete produces code I would not have consciously chosen, which is the exact risk brief §28 warns about, and its contributions are almost impossible to log honestly line by line.</t>
  </si>
  <si>
    <t>Everything.</t>
  </si>
  <si>
    <t>n/a</t>
  </si>
  <si>
    <t>2. Responsibility assignment — who does what, and who checks it</t>
  </si>
  <si>
    <t>AI role</t>
  </si>
  <si>
    <t>Primary tool</t>
  </si>
  <si>
    <t>Cross-check tool</t>
  </si>
  <si>
    <t>Validation gate</t>
  </si>
  <si>
    <t>Evidence recorded on</t>
  </si>
  <si>
    <t>requirements-analyst</t>
  </si>
  <si>
    <t>Traces to a brief line or is labelled an assumption by me</t>
  </si>
  <si>
    <t>AI Usage Log</t>
  </si>
  <si>
    <t>stakeholder-persona</t>
  </si>
  <si>
    <t>Conflicts recorded, not averaged; losing option written down</t>
  </si>
  <si>
    <t>domain-modeller</t>
  </si>
  <si>
    <t>Invariant unit tests written first — a model that cannot be tested is rejected</t>
  </si>
  <si>
    <t>Decisions</t>
  </si>
  <si>
    <t>architect</t>
  </si>
  <si>
    <t>I decide; ADR names the rejected option and why</t>
  </si>
  <si>
    <t>ux-designer</t>
  </si>
  <si>
    <t>Checked against context-of-use constraints; glanceability judged by me</t>
  </si>
  <si>
    <t>implementer</t>
  </si>
  <si>
    <t>Compiles, tests pass, explain-back note written</t>
  </si>
  <si>
    <t>reviewer</t>
  </si>
  <si>
    <t>Findings triaged by me; false positives logged</t>
  </si>
  <si>
    <t>test-engineer</t>
  </si>
  <si>
    <t>Every generated test must fail before it passes — no tautological tests</t>
  </si>
  <si>
    <t>security-reviewer</t>
  </si>
  <si>
    <t>Findings fixed or formally accepted in writing with a named reason</t>
  </si>
  <si>
    <t>technical-writer</t>
  </si>
  <si>
    <t>Facts re-checked against the code, not against the previous draft</t>
  </si>
  <si>
    <t>3. Operating rules</t>
  </si>
  <si>
    <t>Nothing merges that I cannot explain line by line. If explaining takes longer than rewriting it simpler, rewrite it simpler. (§28)</t>
  </si>
  <si>
    <t>The model that authored an artifact does not review it.</t>
  </si>
  <si>
    <t>AI output is input, not conclusion. Where two tools disagree, I decide in writing and record the losing argument.</t>
  </si>
  <si>
    <t>Every contribution is logged the same day. A record reconstructed at the end is not evidence, and memory flattens every disagreement into 'it worked fine'.</t>
  </si>
  <si>
    <t>Challenge rate is monitored, not maximised — but a rate near zero means the output is not being examined.</t>
  </si>
  <si>
    <t>No AI-generated dependency or pattern I have not used before enters the build without me reading its documentation first.</t>
  </si>
  <si>
    <t>Prompts that worked are saved to the Prompt Library; prompts that failed are more interesting and go to AI Failures.</t>
  </si>
  <si>
    <t>One row per AI contribution. Log it the same day — this record cannot be rebuilt from memory at the end. The two grey rows are examples: delete them once you start. Columns K and M are the ones assessors read.</t>
  </si>
  <si>
    <t>WBS / task</t>
  </si>
  <si>
    <t>AI tool</t>
  </si>
  <si>
    <t>What I delegated</t>
  </si>
  <si>
    <t>What it produced</t>
  </si>
  <si>
    <t>Verdict</t>
  </si>
  <si>
    <t>Was it wrong</t>
  </si>
  <si>
    <t>Error type</t>
  </si>
  <si>
    <t>What I changed or why I rejected it</t>
  </si>
  <si>
    <t>How I validated it</t>
  </si>
  <si>
    <t>Saved h</t>
  </si>
  <si>
    <t>Lost h</t>
  </si>
  <si>
    <t>Net h</t>
  </si>
  <si>
    <t>Evidence (commit / file)</t>
  </si>
  <si>
    <t>2026-10-04</t>
  </si>
  <si>
    <t>Generate the EF Core configuration for Journey and JourneyStop</t>
  </si>
  <si>
    <t>Config with an Include chain eager-loading every stop on the departures query</t>
  </si>
  <si>
    <t>Accepted with edits</t>
  </si>
  <si>
    <t>Yes</t>
  </si>
  <si>
    <t>Wrong domain logic</t>
  </si>
  <si>
    <t>Rejected the Include chain - it produced an N+1 across JourneyStop on the public departures endpoint. Replaced with a projection to a read DTO. Kept its naming conventions.</t>
  </si>
  <si>
    <t>Integration test</t>
  </si>
  <si>
    <t>a1b2c3d</t>
  </si>
  <si>
    <t>Propose the service-date handling for journeys crossing midnight</t>
  </si>
  <si>
    <t>Used DateTime.Today for the service date</t>
  </si>
  <si>
    <t>Rejected</t>
  </si>
  <si>
    <t>Missed edge case</t>
  </si>
  <si>
    <t>Its model breaks every 23:50 departure - the arrival falls on the next calendar day and the journey would be filed under the wrong service day. Implemented a GTFS-style service date with offsets allowed past 24:00, which I had already flagged as gap 11 in the plan.</t>
  </si>
  <si>
    <t>Unit test</t>
  </si>
  <si>
    <t>e4f5g6h</t>
  </si>
  <si>
    <t>Prompt and workflow library</t>
  </si>
  <si>
    <t>Brief §21 bullet 3 — important prompts and workflows. Record the ones that changed the outcome, not every message. Grey rows are examples; delete them.</t>
  </si>
  <si>
    <t>Purpose</t>
  </si>
  <si>
    <t>Prompt or workflow (summary)</t>
  </si>
  <si>
    <t>Why structured this way</t>
  </si>
  <si>
    <t>Outcome</t>
  </si>
  <si>
    <t>Reused</t>
  </si>
  <si>
    <t>Evidence</t>
  </si>
  <si>
    <t>2026-09-30</t>
  </si>
  <si>
    <t>Stakeholder simulation</t>
  </si>
  <si>
    <t>Interview protocol per persona, fixed 5 questions: their day / what breaks today / what they need to see / what they must never see / what they would do if the system lied to them</t>
  </si>
  <si>
    <t>The last question is the one that produces failure requirements. Open-ended 'what do you want' prompts return feature lists; asking about distrust returns edge cases.</t>
  </si>
  <si>
    <t>11 edge cases not in the brief</t>
  </si>
  <si>
    <t>docs/00-requirements</t>
  </si>
  <si>
    <t>2026-10-02</t>
  </si>
  <si>
    <t>Independent model review</t>
  </si>
  <si>
    <t>Paste the full domain model and ask: which railway situations would this model fail to represent? Do not suggest improvements, only failures.</t>
  </si>
  <si>
    <t>Forbidding suggestions stops it drifting into agreeable rewriting. Asking only for failures makes the answer checkable against the brief.</t>
  </si>
  <si>
    <t>Found missing crew handover</t>
  </si>
  <si>
    <t>ADR-0002</t>
  </si>
  <si>
    <t>Where AI was wrong or insufficient — and where my judgment improved it</t>
  </si>
  <si>
    <t>Brief §21 bullets 5 and 6. Target 8 substantive entries. These are the highest-value entries in the whole submission: they prove the output was examined, not accepted. The two rows below are real, from 2026-10-01 — verify the wording and keep them.</t>
  </si>
  <si>
    <t>What it claimed or produced</t>
  </si>
  <si>
    <t>Why it was wrong or insufficient</t>
  </si>
  <si>
    <t>How I detected it</t>
  </si>
  <si>
    <t>What I did instead</t>
  </si>
  <si>
    <t>Impact had it shipped</t>
  </si>
  <si>
    <t>§21 bullet</t>
  </si>
  <si>
    <t>2026-10-01</t>
  </si>
  <si>
    <t>1.0</t>
  </si>
  <si>
    <t>Proposed a 14-step requirement-engineering process with a separate 'Current-State Analysis' phase, and two large frames for the stakeholder-impact step.</t>
  </si>
  <si>
    <t>Insufficient rather than incorrect. The brief describes a fictional organisation with no documented current process and no client to interview, so a current-state phase can only output 'unknown'. And the process was sized for a multi-month engagement, not a 21-day window that also has to produce six running applications.</t>
  </si>
  <si>
    <t>Compared the step count against the remaining calendar and the six-app build scope.</t>
  </si>
  <si>
    <t>Collapsed current-state into a short subsection of Discovery with a written note explaining why the method was adapted, consolidated the impact step into a single matrix, and timeboxed the whole RE phase to a D5 freeze.</t>
  </si>
  <si>
    <t>Beautiful requirements with three half-built applications — the failure mode brief §25 warns about directly.</t>
  </si>
  <si>
    <t>An assumption register where 'SmartRail will have an authoritative source for operational railway information' was listed as an assumption with status 'To validate'.</t>
  </si>
  <si>
    <t>That is an architecture decision I am making, not an assumption about an unknown. The register was mixing three different things: facts stated in the brief, decisions I had made, and genuine unknowns. 'To validate' was also unclosable — there is no client to validate with, so every row would still read 'To validate' on submission day.</t>
  </si>
  <si>
    <t>Tried to write the 'what breaks if this is wrong' column and found the answer was 'nothing, because I chose it'.</t>
  </si>
  <si>
    <t>Split the register into facts / decisions / assumptions, moved decisions to ADRs, replaced the status values with closable ones, and added a risk-if-wrong column.</t>
  </si>
  <si>
    <t>A register that looks unfinished and blurs the line between evidence and choice — exactly what §22 asks candidates to distinguish.</t>
  </si>
  <si>
    <t>Decisions sheet</t>
  </si>
  <si>
    <t>AI-generated implementations I significantly modified</t>
  </si>
  <si>
    <t>Brief §21 bullet 7. Only substantive rewrites belong here — not formatting or renames. Each row must be defensible in a live code walkthrough (§28). Grey row is an example.</t>
  </si>
  <si>
    <t>Component / file</t>
  </si>
  <si>
    <t>What the AI generated</t>
  </si>
  <si>
    <t>What I changed</t>
  </si>
  <si>
    <t>Why</t>
  </si>
  <si>
    <t>Evidence (commit)</t>
  </si>
  <si>
    <t>Can I explain it cold</t>
  </si>
  <si>
    <t>backend/src/SmartRail.Infrastructure/Persistence/JourneyConfiguration.cs</t>
  </si>
  <si>
    <t>EF Core configuration with an Include chain eager-loading every JourneyStop on the public departures query.</t>
  </si>
  <si>
    <t>Replaced the Include chain with a projection to a read DTO and a single ordered query; kept its naming conventions and the index definitions, which were correct.</t>
  </si>
  <si>
    <t>The generated version issued one query per journey on the busiest public endpoint — an N+1 that only appears under a realistic station board with 20 departures, so it would have passed a naive test and failed the 300ms p95 target.</t>
  </si>
  <si>
    <t>AI Usage — analysis</t>
  </si>
  <si>
    <t>All formulas. This is the sheet to screenshot for the AI Usage section of the submission (brief section 23).</t>
  </si>
  <si>
    <t>Headline</t>
  </si>
  <si>
    <t>Total logged AI contributions</t>
  </si>
  <si>
    <t>Accepted as-is</t>
  </si>
  <si>
    <t>Challenge rate (edited or rejected)</t>
  </si>
  <si>
    <t>Times AI was wrong</t>
  </si>
  <si>
    <t>Target for 'AI was wrong' write-ups</t>
  </si>
  <si>
    <t>Write-up target met</t>
  </si>
  <si>
    <t>Hours saved</t>
  </si>
  <si>
    <t>Hours lost to AI error</t>
  </si>
  <si>
    <t>Net hours</t>
  </si>
  <si>
    <t>By AI role</t>
  </si>
  <si>
    <t>By error type</t>
  </si>
  <si>
    <t>Uses</t>
  </si>
  <si>
    <t>Rejected or edited</t>
  </si>
  <si>
    <t>Count</t>
  </si>
  <si>
    <t>None</t>
  </si>
  <si>
    <t>Hallucinated API</t>
  </si>
  <si>
    <t>Over-engineered</t>
  </si>
  <si>
    <t>Security blind spot</t>
  </si>
  <si>
    <t>Outdated information</t>
  </si>
  <si>
    <t>Tautological test</t>
  </si>
  <si>
    <t>Ignored constraint</t>
  </si>
  <si>
    <t>By tool</t>
  </si>
  <si>
    <t>Was wrong</t>
  </si>
  <si>
    <t>Other</t>
  </si>
  <si>
    <t>Decision register (ADR index)</t>
  </si>
  <si>
    <t>Brief §23 asks for important architecture decisions and trade-offs. Every row keeps the justification AND the rejected alternative — a decision without a rejected option is not a decision. Fill 'AI involvement' as you go; it feeds the AI usage story.</t>
  </si>
  <si>
    <t>ADR</t>
  </si>
  <si>
    <t>Title</t>
  </si>
  <si>
    <t>Decision</t>
  </si>
  <si>
    <t>Justification</t>
  </si>
  <si>
    <t>Rejected alternative</t>
  </si>
  <si>
    <t>Why rejected</t>
  </si>
  <si>
    <t>AI involvement</t>
  </si>
  <si>
    <t>0001</t>
  </si>
  <si>
    <t>Modular monolith over microservices</t>
  </si>
  <si>
    <t>Accepted</t>
  </si>
  <si>
    <t>One deployable with six hard-bounded modules; boundaries enforced by NetArchTest in CI.</t>
  </si>
  <si>
    <t>Microservices would cost days of infrastructure for zero assessment credit and make distributed-transaction bugs my problem. Enforced module boundaries still demonstrate separation of responsibility, which is what §26 actually grades.</t>
  </si>
  <si>
    <t>Microservices per bounded context</t>
  </si>
  <si>
    <t>One engineer, 21 days. Operational cost with no marginal grading benefit.</t>
  </si>
  <si>
    <t>0002</t>
  </si>
  <si>
    <t>.NET clean architecture layering</t>
  </si>
  <si>
    <t>Domain / Application / Infrastructure / Api, domain with zero framework references.</t>
  </si>
  <si>
    <t>The railway domain is rule-heavy — schedules, calendars, journey state machine. A framework-free domain layer lets those rules be unit-tested without a database, and the layering is legible to an assessor in seconds.</t>
  </si>
  <si>
    <t>Vertical-slice architecture</t>
  </si>
  <si>
    <t>Slices are excellent for CRUD-ish features but hide the shared domain invariants that are the interesting part of this problem.</t>
  </si>
  <si>
    <t>0003</t>
  </si>
  <si>
    <t>PostgreSQL with EF Core</t>
  </si>
  <si>
    <t>Relational store, jsonb for snapshot payloads.</t>
  </si>
  <si>
    <t>The timetable is a graph of stops and joins are the whole job. Free, Docker-friendly, and EF Core migrations keep the schema reproducible for the demo.</t>
  </si>
  <si>
    <t>MongoDB</t>
  </si>
  <si>
    <t>Document model fights the relational timetable; joins would move into code.</t>
  </si>
  <si>
    <t>0004</t>
  </si>
  <si>
    <t>SignalR for realtime</t>
  </si>
  <si>
    <t>WebSocket with automatic long-poll fallback, snapshot-then-delta protocol.</t>
  </si>
  <si>
    <t>First-class in .NET and one abstraction serves web, displays, terminal and Flutter. The fallback matters because §16 requires behaviour under unreliable connectivity.</t>
  </si>
  <si>
    <t>Polling every 10s</t>
  </si>
  <si>
    <t>Kept as the documented fallback if SignalR costs too much time — but polling cannot meet the 5s freshness target for 200 displays.</t>
  </si>
  <si>
    <t>0005</t>
  </si>
  <si>
    <t>Redis for live journey state</t>
  </si>
  <si>
    <t>Current positions, ETAs and display snapshots held in Redis; Postgres holds material changes.</t>
  </si>
  <si>
    <t>Journey progress is hot, small and expendable. Keeping it out of the Postgres write path stops telemetry ingestion competing with the public read endpoints.</t>
  </si>
  <si>
    <t>Everything in Postgres</t>
  </si>
  <si>
    <t>Write amplification from per-ping updates on the busiest table.</t>
  </si>
  <si>
    <t>0006</t>
  </si>
  <si>
    <t>Three-source live tracking with explicit confidence</t>
  </si>
  <si>
    <t>Fuse driver-confirmed events, telemetry pings and schedule projection; every estimate carries a source and a confidence level surfaced in the UI.</t>
  </si>
  <si>
    <t>The brief deliberately leaves the mechanism to me (§5). Each source has different trust, and the worst failure of a passenger-information system is confident wrongness — so the confidence level is a product requirement, not an implementation detail.</t>
  </si>
  <si>
    <t>GPS only</t>
  </si>
  <si>
    <t>Goes blind in tunnels and weak-signal areas, which is precisely when passengers most need to know the system does not know.</t>
  </si>
  <si>
    <t>0007</t>
  </si>
  <si>
    <t>Outbox pattern instead of a message broker</t>
  </si>
  <si>
    <t>Transactional outbox plus a background dispatcher for webhooks and notifications.</t>
  </si>
  <si>
    <t>Gives at-least-once delivery to the catering provider without me operating RabbitMQ or Kafka. The reliability lesson is demonstrated; the ops burden is not incurred.</t>
  </si>
  <si>
    <t>RabbitMQ / Kafka</t>
  </si>
  <si>
    <t>Infrastructure time with no additional grading credit.</t>
  </si>
  <si>
    <t>0008</t>
  </si>
  <si>
    <t>Node.js for the external catering platform</t>
  </si>
  <si>
    <t>RailBite is a separate Node + Express app with its own database and its own ops UI.</t>
  </si>
  <si>
    <t>§12 requires the provider to remain external. A different runtime makes the boundary physically undeniable, exercises the Node track from §24, and forces a real contract — HMAC-signed webhooks and versioned DTOs — instead of a shared-type shortcut.</t>
  </si>
  <si>
    <t>A mocked module inside the monolith</t>
  </si>
  <si>
    <t>Would let types leak across the boundary and prove nothing about integration.</t>
  </si>
  <si>
    <t>0009</t>
  </si>
  <si>
    <t>One kiosk codebase, two modes</t>
  </si>
  <si>
    <t>Single React app with display and terminal modes.</t>
  </si>
  <si>
    <t>Displays and terminals share most of the data layer and all design tokens. Two codebases would be a scope error; 'one app, two interaction profiles' is defensible and satisfies both §6 and §7.</t>
  </si>
  <si>
    <t>Two separate applications</t>
  </si>
  <si>
    <t>Duplicate data layer for one engineer in 21 days.</t>
  </si>
  <si>
    <t>0010</t>
  </si>
  <si>
    <t>Flutter feature-based clean architecture</t>
  </si>
  <si>
    <t>Melos monorepo, two apps sharing core / design_system / api_client; Riverpod and Drift.</t>
  </si>
  <si>
    <t>Feature slices mirror the backend layering so one mental model explains both. Drift because the driver app needs a queryable offline action queue, not key-value storage.</t>
  </si>
  <si>
    <t>Separate repos per app</t>
  </si>
  <si>
    <t>Loses the shared design system and triples the CI surface.</t>
  </si>
  <si>
    <t>0011</t>
  </si>
  <si>
    <t>Permission-based authorization with scoped permissions</t>
  </si>
  <si>
    <t>Roles are bundles of permissions; scope-limited permissions such as station.edit:own are checked in the Application layer.</t>
  </si>
  <si>
    <t>§9 says explicitly not to treat operational users as one Administrator role. Permissions rather than roles in the code means adding a role is configuration, not a code change.</t>
  </si>
  <si>
    <t>Role checks at the controller</t>
  </si>
  <si>
    <t>Scatters authorization across endpoints and makes the negative tests impossible to enumerate.</t>
  </si>
  <si>
    <t>0012</t>
  </si>
  <si>
    <t>Device identity for unattended clients</t>
  </si>
  <si>
    <t>Displays and terminals get provisioned device tokens with read-only scope, heartbeat and revocation; a device registry backs the Station and Device Health screen.</t>
  </si>
  <si>
    <t>Not in the brief at all — discovered in gap analysis. An unattended screen has no human to log in, and a dead display is a customer-facing outage nobody notices without heartbeats.</t>
  </si>
  <si>
    <t>Shared API key across devices</t>
  </si>
  <si>
    <t>Cannot revoke one screen, cannot tell which screen is stale, and a key leak compromises every station.</t>
  </si>
  <si>
    <t>0013</t>
  </si>
  <si>
    <t>No passenger location collection</t>
  </si>
  <si>
    <t>Station selection is manual or a coarse one-shot lookup; no continuous passenger GPS.</t>
  </si>
  <si>
    <t>Privacy by design — continuous location is not required to satisfy any requirement in the brief, so collecting it would be unjustifiable data. Also removes a whole consent and retention burden under §20.</t>
  </si>
  <si>
    <t>Background location for nearest-station</t>
  </si>
  <si>
    <t>Convenience that does not justify the data, the consent flow or the retention risk.</t>
  </si>
  <si>
    <t>0014</t>
  </si>
  <si>
    <t>Injectable clock plus seeded simulator</t>
  </si>
  <si>
    <t>IClock everywhere; a deterministic scenario-driven journey simulator.</t>
  </si>
  <si>
    <t>An architecture decision driven purely by testability. Without it, 'the train is 12 minutes late at 14:37' is a waiting game rather than a test, and none of the five E2E flows could be deterministic.</t>
  </si>
  <si>
    <t>Real wall-clock time in tests</t>
  </si>
  <si>
    <t>Flaky, slow, and makes the delay scenarios untestable in CI.</t>
  </si>
  <si>
    <t>0015</t>
  </si>
  <si>
    <t>Shared design tokens, divergent density profiles</t>
  </si>
  <si>
    <t>One tokens.json generating CSS variables and Dart constants; three type scales for passenger, operations and display.</t>
  </si>
  <si>
    <t>§15 asks whether the applications share a design language. They share tokens but must not share density: a display read at 8 metres and an operations console read at 60cm have opposite requirements. One source of truth prevents React/Flutter drift.</t>
  </si>
  <si>
    <t>One shared component library across all five apps</t>
  </si>
  <si>
    <t>Forces a compromise density that serves none of the three audiences well.</t>
  </si>
  <si>
    <t>Risk register</t>
  </si>
  <si>
    <t>Review every Friday. Score = Likelihood x Impact (High 3, Medium 2, Low 1).</t>
  </si>
  <si>
    <t>ID</t>
  </si>
  <si>
    <t>Risk</t>
  </si>
  <si>
    <t>Likelihood</t>
  </si>
  <si>
    <t>Impact</t>
  </si>
  <si>
    <t>Score</t>
  </si>
  <si>
    <t>Mitigation</t>
  </si>
  <si>
    <t>Trigger / early warning</t>
  </si>
  <si>
    <t>Last reviewed</t>
  </si>
  <si>
    <t>R1</t>
  </si>
  <si>
    <t>Scope creep across six applications</t>
  </si>
  <si>
    <t>High</t>
  </si>
  <si>
    <t>D14 feature freeze; screen ceilings fixed in plan.md section 9; everything cut goes to the Deferred sheet</t>
  </si>
  <si>
    <t>A new screen appears in the WBS after D14</t>
  </si>
  <si>
    <t>R2</t>
  </si>
  <si>
    <t>Realtime plus offline mechanics consume days</t>
  </si>
  <si>
    <t>Build the live spine D8-D9 while fresh; simulator makes it testable; fall back to polling if SignalR fights back</t>
  </si>
  <si>
    <t>4.3.1 still open at end of D9</t>
  </si>
  <si>
    <t>R3</t>
  </si>
  <si>
    <t>Flutter and Android toolchain time sink</t>
  </si>
  <si>
    <t>Medium</t>
  </si>
  <si>
    <t>Validate emulator and FCM on D6 inside task 3.4.1, not on D12; iOS explicitly out of test scope</t>
  </si>
  <si>
    <t>3.4.1 slips or emulator fails</t>
  </si>
  <si>
    <t>R4</t>
  </si>
  <si>
    <t>Documentation left until week three</t>
  </si>
  <si>
    <t>Docs produced daily alongside the work; D19 is consolidation only, not authoring</t>
  </si>
  <si>
    <t>Any phase-8 task starting before D19 is empty</t>
  </si>
  <si>
    <t>R5</t>
  </si>
  <si>
    <t>AI usage evidence unconvincing</t>
  </si>
  <si>
    <t>Log every contribution the same day; challenge rate and 'AI was wrong' count tracked on the AI Summary sheet</t>
  </si>
  <si>
    <t>AI Summary shows fewer than 8 wrong entries by D16</t>
  </si>
  <si>
    <t>R6</t>
  </si>
  <si>
    <t>Live demo breaks during the presentation</t>
  </si>
  <si>
    <t>Deterministic seeded scenario, two rehearsals on D20, recorded fallback video</t>
  </si>
  <si>
    <t>First rehearsal fails</t>
  </si>
  <si>
    <t>R7</t>
  </si>
  <si>
    <t>Cannot explain a generated module under questioning</t>
  </si>
  <si>
    <t>Definition of done item 7 - explain-back note per slice; simplify rather than keep clever code</t>
  </si>
  <si>
    <t>Any merged file I cannot walk through cold</t>
  </si>
  <si>
    <t>R8</t>
  </si>
  <si>
    <t>Integration flakiness with the catering provider</t>
  </si>
  <si>
    <t>Fault-injection switch in RailBite, contract tests both directions, outbox plus dead letter queue</t>
  </si>
  <si>
    <t>E2E 4 intermittent in CI</t>
  </si>
  <si>
    <t>R9</t>
  </si>
  <si>
    <t>Time lost to Docker and CI infrastructure</t>
  </si>
  <si>
    <t>Compose and CI working by D7 or drop CI to a local script and move on</t>
  </si>
  <si>
    <t>3.4.3 not green by end of D7</t>
  </si>
  <si>
    <t>R10</t>
  </si>
  <si>
    <t>Illness or external interruption</t>
  </si>
  <si>
    <t>Low</t>
  </si>
  <si>
    <t>D21 buffer task 8.4.1; week gates allow graceful degradation rather than collapse</t>
  </si>
  <si>
    <t>More than one full day lost</t>
  </si>
  <si>
    <t>Defect log</t>
  </si>
  <si>
    <t>A deliverable in its own right (brief section 23 QA). Log defects you caused and fixed too - an empty log reads as no testing. The grey row is an example; delete it.</t>
  </si>
  <si>
    <t>Date found</t>
  </si>
  <si>
    <t>Severity</t>
  </si>
  <si>
    <t>Area</t>
  </si>
  <si>
    <t>How found</t>
  </si>
  <si>
    <t>Steps to reproduce</t>
  </si>
  <si>
    <t>Expected</t>
  </si>
  <si>
    <t>Actual</t>
  </si>
  <si>
    <t>Root cause</t>
  </si>
  <si>
    <t>Fix commit</t>
  </si>
  <si>
    <t>Prevention test added</t>
  </si>
  <si>
    <t>Closed</t>
  </si>
  <si>
    <t>DEF-001</t>
  </si>
  <si>
    <t>2026-10-08</t>
  </si>
  <si>
    <t>Major</t>
  </si>
  <si>
    <t>Live Operations</t>
  </si>
  <si>
    <t>E2E 1 draft run</t>
  </si>
  <si>
    <t>Delay a journey by 8 min at stop 3, then inspect stop 6 ETA</t>
  </si>
  <si>
    <t>Downstream ETAs shift by 8 min</t>
  </si>
  <si>
    <t>Stops 4 and 5 shift, stop 6 unchanged</t>
  </si>
  <si>
    <t>Propagation loop stopped at the first stop with a scheduled dwell buffer</t>
  </si>
  <si>
    <t>f7a91c2</t>
  </si>
  <si>
    <t>Unit test: propagation across a stop with dwell buffer</t>
  </si>
  <si>
    <t>Fixed</t>
  </si>
  <si>
    <t>Deferred scope register</t>
  </si>
  <si>
    <t>Brief section 25 grades deferral as a skill. Every cut needs a reason, not just an exclusion. Add a row whenever you cut something mid-project.</t>
  </si>
  <si>
    <t>Deferred item</t>
  </si>
  <si>
    <t>Reason</t>
  </si>
  <si>
    <t>Decided on</t>
  </si>
  <si>
    <t>Would need</t>
  </si>
  <si>
    <t>X-01</t>
  </si>
  <si>
    <t>Ticketing, fares and seat reservation</t>
  </si>
  <si>
    <t>Not in the brief. SmartRail is an information platform; adding commerce would double the domain and the compliance surface.</t>
  </si>
  <si>
    <t>Payment compliance, fare engine</t>
  </si>
  <si>
    <t>X-02</t>
  </si>
  <si>
    <t>Real card payments</t>
  </si>
  <si>
    <t>Payment ownership assigned to the catering provider. SmartRail never sees a card number. Provider test mode only.</t>
  </si>
  <si>
    <t>PCI scope, provider live keys</t>
  </si>
  <si>
    <t>X-03</t>
  </si>
  <si>
    <t>Knock-on delay propagation between trains</t>
  </si>
  <si>
    <t>Real railway behaviour, but needs a network capacity and conflict model. Named as known-and-excluded rather than missed.</t>
  </si>
  <si>
    <t>Track capacity model</t>
  </si>
  <si>
    <t>X-04</t>
  </si>
  <si>
    <t>Train splitting, joining and coach composition</t>
  </si>
  <si>
    <t>Rare and hard to model. Documented as a domain extension point in the journey aggregate.</t>
  </si>
  <si>
    <t>Vehicle composition aggregate</t>
  </si>
  <si>
    <t>X-05</t>
  </si>
  <si>
    <t>SMS and email notification channels</t>
  </si>
  <si>
    <t>Push plus in-app covers every demonstrated journey; adding a carrier is integration cost with no new architectural lesson.</t>
  </si>
  <si>
    <t>Carrier account, deliverability handling</t>
  </si>
  <si>
    <t>X-06</t>
  </si>
  <si>
    <t>Kubernetes, multi-region and autoscaling</t>
  </si>
  <si>
    <t>Documented as a production path in the operations docs; not built. No assessment credit for the infrastructure time.</t>
  </si>
  <si>
    <t>Cluster, IaC, cost budget</t>
  </si>
  <si>
    <t>X-07</t>
  </si>
  <si>
    <t>Full multilingual rollout</t>
  </si>
  <si>
    <t>i18n scaffolding plus one secondary language on passenger app and displays only. Ops console stays English - internal audience.</t>
  </si>
  <si>
    <t>Translation review per language</t>
  </si>
  <si>
    <t>X-08</t>
  </si>
  <si>
    <t>Formal accessibility audit and certification</t>
  </si>
  <si>
    <t>WCAG 2.2 AA treated as a design and test target with axe plus manual checks. Certification is out of scope for a 3-week assessment.</t>
  </si>
  <si>
    <t>External auditor</t>
  </si>
  <si>
    <t>X-09</t>
  </si>
  <si>
    <t>On-board catering delivery by staff</t>
  </si>
  <si>
    <t>Collection-at-station only. One fulfilment mode fully worked beats two half-modes.</t>
  </si>
  <si>
    <t>Crew handheld app, seat mapping</t>
  </si>
  <si>
    <t>X-10</t>
  </si>
  <si>
    <t>ML-based ETA prediction</t>
  </si>
  <si>
    <t>The deterministic propagation model is explainable and defensible. An unexplainable model would violate brief section 28.</t>
  </si>
  <si>
    <t>Historical dataset, model ops</t>
  </si>
  <si>
    <t>Validation lists</t>
  </si>
  <si>
    <t>Referenced by dropdowns on other sheets. Add values at the bottom of a column; do not leave gaps.</t>
  </si>
  <si>
    <t>Workstream</t>
  </si>
  <si>
    <t>AI verdict</t>
  </si>
  <si>
    <t>AI error type</t>
  </si>
  <si>
    <t>Validation method</t>
  </si>
  <si>
    <t>Defect status</t>
  </si>
  <si>
    <t>Yes / No</t>
  </si>
  <si>
    <t>Use (policy)</t>
  </si>
  <si>
    <t>ADR status</t>
  </si>
  <si>
    <t>Critical</t>
  </si>
  <si>
    <t>Primary</t>
  </si>
  <si>
    <t>Proposed</t>
  </si>
  <si>
    <t>Doing</t>
  </si>
  <si>
    <t>No</t>
  </si>
  <si>
    <t>Secondary</t>
  </si>
  <si>
    <t>E2E test</t>
  </si>
  <si>
    <t>Minor</t>
  </si>
  <si>
    <t>Review only</t>
  </si>
  <si>
    <t>Superseded</t>
  </si>
  <si>
    <t>Not used</t>
  </si>
  <si>
    <t>Ran it manually</t>
  </si>
  <si>
    <t>Trivial</t>
  </si>
  <si>
    <t>Won't fix</t>
  </si>
  <si>
    <t>Manual code review</t>
  </si>
  <si>
    <t>Cross-checked documentation</t>
  </si>
  <si>
    <t>AI cross-review</t>
  </si>
  <si>
    <t>How to use this workbook</t>
  </si>
  <si>
    <t>Read once. Daily use is three cells.</t>
  </si>
  <si>
    <t>The daily loop (under 5 minutes)</t>
  </si>
  <si>
    <t>Open WBS. Set Status to Doing on what you start.</t>
  </si>
  <si>
    <t>When a task closes: Status = Done, and type the real hours into Act h.</t>
  </si>
  <si>
    <t>Log every AI contribution on AI Usage Log the same day. Never save this for later.</t>
  </si>
  <si>
    <t>Glance at Dashboard. If Slipped tasks is red, decide now: re-date, cut, or spend buffer.</t>
  </si>
  <si>
    <t>Which cells you edit</t>
  </si>
  <si>
    <t>Blue text</t>
  </si>
  <si>
    <t>Input cells. Safe to edit.</t>
  </si>
  <si>
    <t>Black text</t>
  </si>
  <si>
    <t>Formulas. Do not overwrite.</t>
  </si>
  <si>
    <t>Yellow fill</t>
  </si>
  <si>
    <t>Dashboard B3 only - the project start date. Change it and the whole plan reshifts.</t>
  </si>
  <si>
    <t>Sheets</t>
  </si>
  <si>
    <t>Dashboard</t>
  </si>
  <si>
    <t>Generated summary - progress, gates, §21 AI evidence coverage, work-package subtask progress, daily load. Screenshot this for status updates.</t>
  </si>
  <si>
    <t>The plan. Three levels: phase, work package, task. Only task rows are edited; the two levels above roll up.</t>
  </si>
  <si>
    <t>Gantt</t>
  </si>
  <si>
    <t>Generated from WBS. Blue planned, amber in progress, green done, red blocked.</t>
  </si>
  <si>
    <t>Which tools, what each is responsible for, and WHY that tool for that job. Covers §21 bullets 1 and 2. Written once; revise only with a dated note.</t>
  </si>
  <si>
    <t>One row per AI contribution. The 'What I changed or why I rejected it' column is the one assessors read.</t>
  </si>
  <si>
    <t>§21 bullet 3. Prompts and workflows that changed the outcome - not every message.</t>
  </si>
  <si>
    <t>§21 bullets 5 and 6. Target 8 entries. The highest-value sheet in the submission.</t>
  </si>
  <si>
    <t>§21 bullet 7. AI-generated code you substantively rewrote, and why.</t>
  </si>
  <si>
    <t>AI Summary</t>
  </si>
  <si>
    <t>Formulas over the log. Challenge rate by tool, and the 'AI was wrong' counter against the target of 8.</t>
  </si>
  <si>
    <t>ADR index. Every row keeps the justification AND the rejected alternative.</t>
  </si>
  <si>
    <t>Risks</t>
  </si>
  <si>
    <t>Review every Friday. Score colours itself.</t>
  </si>
  <si>
    <t>Defects</t>
  </si>
  <si>
    <t>QA deliverable. Log your own defects too - an empty log reads as no testing.</t>
  </si>
  <si>
    <t>Every scope cut with its reason. Brief section 25 grades this explicitly.</t>
  </si>
  <si>
    <t>Lists</t>
  </si>
  <si>
    <t>Dropdown sources. Extend at the bottom of a column.</t>
  </si>
  <si>
    <t>Adding work mid-project</t>
  </si>
  <si>
    <t>Insert a row inside the WBS task block it belongs to, give it the next WBS code (e.g. 4.2.3), set Lvl to 3, then copy the formulas in columns G, H, M and T down from the row above. Set _parent and _root (hidden columns R and S) to the parent and phase codes or the rollups will miss it.</t>
  </si>
  <si>
    <t>Capturing AI usage without extra work</t>
  </si>
  <si>
    <t>Run: git config commit.template .gitmessage</t>
  </si>
  <si>
    <t>Each commit then prompts for Task, AI-Role, AI-Verdict and AI-Note trailers. Those are your receipts - timestamped in git history, so the record is evidence rather than something written from memory at the end. Paste them into the AI Usage Log at the end of each day.</t>
  </si>
  <si>
    <t>Why the challenge rate matters</t>
  </si>
  <si>
    <t>Brief section 21 says explicitly that using AI successfully does not mean accepting everything it generates. A project claiming heavy AI use with a 5% challenge rate reads as unexamined. Write notes specific enough to defend out loud: 'rejected its Include chain, N+1 across JourneyStop' beats 'fixed AI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</si>
</sst>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d\ dd\ mmm"/>
    <numFmt numFmtId="165" formatCode="0.0"/>
    <numFmt numFmtId="166" formatCode="ddd"/>
    <numFmt numFmtId="167" formatCode="yyyy\-mm\-dd"/>
    <numFmt numFmtId="168" formatCode="ddd\ dd\ mmm\ yyyy"/>
    <numFmt numFmtId="169" formatCode="0.0%"/>
    <numFmt numFmtId="170" formatCode="0.00\x"/>
  </numFmts>
  <fonts count="20" x14ac:knownFonts="1">
    <font>
      <sz val="11"/>
      <color theme="1"/>
      <name val="Calibri"/>
      <family val="2"/>
      <scheme val="minor"/>
    </font>
    <font>
      <b/>
      <sz val="14"/>
      <color rgb="FF1F3864"/>
      <name val="Arial"/>
    </font>
    <font>
      <i/>
      <sz val="9"/>
      <color rgb="FF595959"/>
      <name val="Arial"/>
    </font>
    <font>
      <b/>
      <sz val="10"/>
      <color rgb="FFFFFFFF"/>
      <name val="Arial"/>
    </font>
    <font>
      <sz val="10"/>
      <name val="Arial"/>
    </font>
    <font>
      <sz val="10"/>
      <color rgb="FF0000FF"/>
      <name val="Arial"/>
    </font>
    <font>
      <b/>
      <sz val="10"/>
      <name val="Arial"/>
    </font>
    <font>
      <sz val="8"/>
      <color rgb="FF595959"/>
      <name val="Arial"/>
    </font>
    <font>
      <b/>
      <sz val="9"/>
      <color rgb="FFFFFFFF"/>
      <name val="Arial"/>
    </font>
    <font>
      <i/>
      <sz val="9"/>
      <color rgb="FF7F7F7F"/>
      <name val="Arial"/>
    </font>
    <font>
      <sz val="9"/>
      <color rgb="FF000000"/>
      <name val="Arial"/>
    </font>
    <font>
      <sz val="9"/>
      <color rgb="FF0000FF"/>
      <name val="Arial"/>
    </font>
    <font>
      <b/>
      <sz val="11"/>
      <color rgb="FF1F3864"/>
      <name val="Arial"/>
    </font>
    <font>
      <b/>
      <sz val="9"/>
      <name val="Arial"/>
    </font>
    <font>
      <sz val="9"/>
      <name val="Arial"/>
    </font>
    <font>
      <b/>
      <sz val="9"/>
      <color rgb="FF000000"/>
      <name val="Arial"/>
    </font>
    <font>
      <b/>
      <sz val="10"/>
      <color rgb="FF0000FF"/>
      <name val="Arial"/>
    </font>
    <font>
      <b/>
      <sz val="10"/>
      <color rgb="FF000000"/>
      <name val="Arial"/>
    </font>
    <font>
      <b/>
      <sz val="10"/>
      <color rgb="FF1F3864"/>
      <name val="Arial"/>
    </font>
    <font>
      <b/>
      <sz val="8"/>
      <color rgb="FFFFFFFF"/>
      <name val="Arial"/>
    </font>
  </fonts>
  <fills count="8">
    <fill>
      <patternFill patternType="none"/>
    </fill>
    <fill>
      <patternFill patternType="gray125"/>
    </fill>
    <fill>
      <patternFill patternType="solid">
        <fgColor rgb="FF404040"/>
      </patternFill>
    </fill>
    <fill>
      <patternFill patternType="solid">
        <fgColor rgb="FFD9E2F3"/>
      </patternFill>
    </fill>
    <fill>
      <patternFill patternType="solid">
        <fgColor rgb="FFEDF2FA"/>
      </patternFill>
    </fill>
    <fill>
      <patternFill patternType="solid">
        <fgColor rgb="FF1F3864"/>
      </patternFill>
    </fill>
    <fill>
      <patternFill patternType="solid">
        <fgColor rgb="FFF2F2F2"/>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6">
    <xf numFmtId="0" fontId="0" fillId="0" borderId="0" xfId="0"/>
    <xf numFmtId="0" fontId="1" fillId="0" borderId="0" xfId="0" applyFont="1"/>
    <xf numFmtId="0" fontId="2" fillId="0" borderId="0" xfId="0" applyFont="1"/>
    <xf numFmtId="0" fontId="18" fillId="0" borderId="0" xfId="0" applyFont="1"/>
    <xf numFmtId="0" fontId="6" fillId="0" borderId="0" xfId="0" applyFont="1"/>
    <xf numFmtId="167" fontId="16" fillId="7" borderId="1" xfId="0" applyNumberFormat="1" applyFont="1" applyFill="1" applyBorder="1" applyAlignment="1">
      <alignment horizontal="center"/>
    </xf>
    <xf numFmtId="0" fontId="19" fillId="5" borderId="1" xfId="0" applyFont="1" applyFill="1" applyBorder="1" applyAlignment="1">
      <alignment horizontal="center"/>
    </xf>
    <xf numFmtId="168" fontId="17" fillId="0" borderId="1" xfId="0" applyNumberFormat="1" applyFont="1" applyBorder="1" applyAlignment="1">
      <alignment horizontal="center"/>
    </xf>
    <xf numFmtId="165" fontId="14" fillId="0" borderId="1" xfId="0" applyNumberFormat="1" applyFont="1" applyBorder="1" applyAlignment="1">
      <alignment horizontal="center"/>
    </xf>
    <xf numFmtId="0" fontId="17" fillId="0" borderId="1" xfId="0" applyFont="1" applyBorder="1" applyAlignment="1">
      <alignment horizontal="center"/>
    </xf>
    <xf numFmtId="0" fontId="12" fillId="0" borderId="0" xfId="0" applyFont="1"/>
    <xf numFmtId="0" fontId="4" fillId="0" borderId="0" xfId="0" applyFont="1"/>
    <xf numFmtId="0" fontId="6" fillId="0" borderId="1" xfId="0" applyFont="1" applyBorder="1" applyAlignment="1">
      <alignment horizontal="center"/>
    </xf>
    <xf numFmtId="0" fontId="3" fillId="2" borderId="1" xfId="0" applyFont="1" applyFill="1" applyBorder="1" applyAlignment="1">
      <alignment horizontal="center"/>
    </xf>
    <xf numFmtId="49" fontId="4" fillId="0" borderId="1" xfId="0" applyNumberFormat="1" applyFont="1" applyBorder="1" applyAlignment="1">
      <alignment horizontal="center"/>
    </xf>
    <xf numFmtId="0" fontId="4" fillId="0" borderId="1" xfId="0" applyFont="1" applyBorder="1" applyAlignment="1">
      <alignment horizontal="left"/>
    </xf>
    <xf numFmtId="0" fontId="4" fillId="0" borderId="1" xfId="0" applyFont="1" applyBorder="1" applyAlignment="1">
      <alignment horizontal="center"/>
    </xf>
    <xf numFmtId="9" fontId="4" fillId="0" borderId="1" xfId="0" applyNumberFormat="1" applyFont="1" applyBorder="1" applyAlignment="1">
      <alignment horizontal="center"/>
    </xf>
    <xf numFmtId="169" fontId="6" fillId="0" borderId="1" xfId="0" applyNumberFormat="1" applyFont="1" applyBorder="1" applyAlignment="1">
      <alignment horizontal="center"/>
    </xf>
    <xf numFmtId="170" fontId="6" fillId="0" borderId="1" xfId="0" applyNumberFormat="1" applyFont="1" applyBorder="1" applyAlignment="1">
      <alignment horizontal="center"/>
    </xf>
    <xf numFmtId="164" fontId="4" fillId="0" borderId="1" xfId="0" applyNumberFormat="1" applyFont="1" applyBorder="1" applyAlignment="1">
      <alignment horizontal="center"/>
    </xf>
    <xf numFmtId="9" fontId="6" fillId="0" borderId="1" xfId="0" applyNumberFormat="1" applyFont="1" applyBorder="1" applyAlignment="1">
      <alignment horizontal="center"/>
    </xf>
    <xf numFmtId="0" fontId="3" fillId="2" borderId="1" xfId="0" applyFont="1" applyFill="1" applyBorder="1" applyAlignment="1">
      <alignment horizontal="center" wrapText="1"/>
    </xf>
    <xf numFmtId="0" fontId="14" fillId="0" borderId="1" xfId="0" applyFon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left" vertical="center"/>
    </xf>
    <xf numFmtId="49" fontId="14" fillId="0" borderId="1" xfId="0" applyNumberFormat="1" applyFont="1" applyBorder="1" applyAlignment="1">
      <alignment horizontal="center" vertical="center"/>
    </xf>
    <xf numFmtId="9" fontId="14" fillId="0" borderId="1" xfId="0" applyNumberFormat="1" applyFont="1" applyBorder="1" applyAlignment="1">
      <alignment horizontal="center" vertical="center"/>
    </xf>
    <xf numFmtId="0" fontId="3" fillId="2" borderId="1" xfId="0" applyFont="1" applyFill="1" applyBorder="1" applyAlignment="1">
      <alignment horizontal="center" vertical="center" wrapText="1"/>
    </xf>
    <xf numFmtId="49" fontId="6" fillId="3" borderId="1" xfId="0" applyNumberFormat="1" applyFont="1" applyFill="1" applyBorder="1" applyAlignment="1">
      <alignment horizontal="left" vertical="top"/>
    </xf>
    <xf numFmtId="0" fontId="6" fillId="3" borderId="1" xfId="0" applyFont="1" applyFill="1" applyBorder="1" applyAlignment="1">
      <alignment horizontal="center" vertical="top"/>
    </xf>
    <xf numFmtId="0" fontId="6" fillId="3" borderId="1" xfId="0" applyFont="1" applyFill="1" applyBorder="1" applyAlignment="1">
      <alignment horizontal="left" vertical="top" wrapText="1"/>
    </xf>
    <xf numFmtId="0" fontId="6" fillId="3" borderId="1" xfId="0" applyFont="1" applyFill="1" applyBorder="1" applyAlignment="1">
      <alignment horizontal="left" vertical="top"/>
    </xf>
    <xf numFmtId="164" fontId="6" fillId="3" borderId="1" xfId="0" applyNumberFormat="1" applyFont="1" applyFill="1" applyBorder="1" applyAlignment="1">
      <alignment horizontal="left" vertical="top"/>
    </xf>
    <xf numFmtId="165" fontId="6" fillId="3" borderId="1" xfId="0" applyNumberFormat="1" applyFont="1" applyFill="1" applyBorder="1" applyAlignment="1">
      <alignment horizontal="center" vertical="top"/>
    </xf>
    <xf numFmtId="9" fontId="6" fillId="3" borderId="1" xfId="0" applyNumberFormat="1" applyFont="1" applyFill="1" applyBorder="1" applyAlignment="1">
      <alignment horizontal="center" vertical="top"/>
    </xf>
    <xf numFmtId="49" fontId="6" fillId="4" borderId="1" xfId="0" applyNumberFormat="1" applyFont="1" applyFill="1" applyBorder="1" applyAlignment="1">
      <alignment horizontal="left" vertical="top"/>
    </xf>
    <xf numFmtId="0" fontId="6" fillId="4" borderId="1" xfId="0" applyFont="1" applyFill="1" applyBorder="1" applyAlignment="1">
      <alignment horizontal="center" vertical="top"/>
    </xf>
    <xf numFmtId="0" fontId="6" fillId="4" borderId="1" xfId="0" applyFont="1" applyFill="1" applyBorder="1" applyAlignment="1">
      <alignment horizontal="left" vertical="top" wrapText="1"/>
    </xf>
    <xf numFmtId="0" fontId="6" fillId="4" borderId="1" xfId="0" applyFont="1" applyFill="1" applyBorder="1" applyAlignment="1">
      <alignment horizontal="left" vertical="top"/>
    </xf>
    <xf numFmtId="164" fontId="6" fillId="4" borderId="1" xfId="0" applyNumberFormat="1" applyFont="1" applyFill="1" applyBorder="1" applyAlignment="1">
      <alignment horizontal="left" vertical="top"/>
    </xf>
    <xf numFmtId="165" fontId="6" fillId="4" borderId="1" xfId="0" applyNumberFormat="1" applyFont="1" applyFill="1" applyBorder="1" applyAlignment="1">
      <alignment horizontal="center" vertical="top"/>
    </xf>
    <xf numFmtId="9" fontId="6" fillId="4" borderId="1" xfId="0" applyNumberFormat="1" applyFont="1" applyFill="1" applyBorder="1" applyAlignment="1">
      <alignment horizontal="center" vertical="top"/>
    </xf>
    <xf numFmtId="49" fontId="4" fillId="0" borderId="1" xfId="0" applyNumberFormat="1" applyFont="1" applyBorder="1" applyAlignment="1">
      <alignment horizontal="left" vertical="top"/>
    </xf>
    <xf numFmtId="0" fontId="4" fillId="0" borderId="1" xfId="0" applyFont="1" applyBorder="1" applyAlignment="1">
      <alignment horizontal="center" vertical="top"/>
    </xf>
    <xf numFmtId="0" fontId="4" fillId="0" borderId="1" xfId="0" applyFont="1" applyBorder="1" applyAlignment="1">
      <alignment horizontal="left" vertical="top" wrapText="1"/>
    </xf>
    <xf numFmtId="0" fontId="4" fillId="0" borderId="1" xfId="0" applyFont="1" applyBorder="1" applyAlignment="1">
      <alignment horizontal="left" vertical="top"/>
    </xf>
    <xf numFmtId="164" fontId="4" fillId="0" borderId="1" xfId="0" applyNumberFormat="1" applyFont="1" applyBorder="1" applyAlignment="1">
      <alignment horizontal="left" vertical="top"/>
    </xf>
    <xf numFmtId="165" fontId="4" fillId="0" borderId="1" xfId="0" applyNumberFormat="1" applyFont="1" applyBorder="1" applyAlignment="1">
      <alignment horizontal="center" vertical="top"/>
    </xf>
    <xf numFmtId="9" fontId="4" fillId="0" borderId="1" xfId="0" applyNumberFormat="1" applyFont="1" applyBorder="1" applyAlignment="1">
      <alignment horizontal="center" vertical="top"/>
    </xf>
    <xf numFmtId="166" fontId="7" fillId="0" borderId="0" xfId="0" applyNumberFormat="1" applyFont="1" applyAlignment="1">
      <alignment horizontal="center"/>
    </xf>
    <xf numFmtId="0" fontId="3" fillId="2" borderId="1" xfId="0" applyFont="1" applyFill="1" applyBorder="1" applyAlignment="1">
      <alignment horizontal="center" vertical="center"/>
    </xf>
    <xf numFmtId="0" fontId="8" fillId="5" borderId="1" xfId="0" applyFont="1" applyFill="1" applyBorder="1" applyAlignment="1">
      <alignment horizontal="center" vertical="center"/>
    </xf>
    <xf numFmtId="49" fontId="6" fillId="3" borderId="1" xfId="0" applyNumberFormat="1" applyFont="1" applyFill="1" applyBorder="1" applyAlignment="1">
      <alignment horizontal="center" vertical="center"/>
    </xf>
    <xf numFmtId="0" fontId="6" fillId="3" borderId="1" xfId="0" applyFont="1" applyFill="1" applyBorder="1" applyAlignment="1">
      <alignment horizontal="left" vertical="center" wrapText="1"/>
    </xf>
    <xf numFmtId="0" fontId="6" fillId="3" borderId="1" xfId="0" applyFont="1" applyFill="1" applyBorder="1" applyAlignment="1">
      <alignment horizontal="center" vertical="center"/>
    </xf>
    <xf numFmtId="165" fontId="6" fillId="3" borderId="1" xfId="0" applyNumberFormat="1" applyFont="1" applyFill="1" applyBorder="1" applyAlignment="1">
      <alignment horizontal="center" vertical="center"/>
    </xf>
    <xf numFmtId="9" fontId="6" fillId="3" borderId="1" xfId="0" applyNumberFormat="1" applyFont="1" applyFill="1" applyBorder="1" applyAlignment="1">
      <alignment horizontal="center" vertical="center"/>
    </xf>
    <xf numFmtId="0" fontId="0" fillId="0" borderId="1" xfId="0" applyBorder="1"/>
    <xf numFmtId="49" fontId="6" fillId="4" borderId="1" xfId="0" applyNumberFormat="1" applyFont="1" applyFill="1" applyBorder="1" applyAlignment="1">
      <alignment horizontal="center" vertical="center"/>
    </xf>
    <xf numFmtId="0" fontId="6" fillId="4" borderId="1" xfId="0" applyFont="1" applyFill="1" applyBorder="1" applyAlignment="1">
      <alignment horizontal="left" vertical="center" wrapText="1"/>
    </xf>
    <xf numFmtId="0" fontId="6" fillId="4" borderId="1" xfId="0" applyFont="1" applyFill="1" applyBorder="1" applyAlignment="1">
      <alignment horizontal="center" vertical="center"/>
    </xf>
    <xf numFmtId="165" fontId="6" fillId="4" borderId="1" xfId="0" applyNumberFormat="1" applyFont="1" applyFill="1" applyBorder="1" applyAlignment="1">
      <alignment horizontal="center" vertical="center"/>
    </xf>
    <xf numFmtId="9" fontId="6" fillId="4" borderId="1" xfId="0" applyNumberFormat="1" applyFont="1" applyFill="1" applyBorder="1" applyAlignment="1">
      <alignment horizontal="center" vertical="center"/>
    </xf>
    <xf numFmtId="49" fontId="4" fillId="0" borderId="1" xfId="0" applyNumberFormat="1"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xf>
    <xf numFmtId="165" fontId="4" fillId="0" borderId="1" xfId="0" applyNumberFormat="1" applyFont="1" applyBorder="1" applyAlignment="1">
      <alignment horizontal="center" vertical="center"/>
    </xf>
    <xf numFmtId="9" fontId="4" fillId="0" borderId="1" xfId="0" applyNumberFormat="1" applyFont="1" applyBorder="1" applyAlignment="1">
      <alignment horizontal="center" vertical="center"/>
    </xf>
    <xf numFmtId="0" fontId="4" fillId="0" borderId="0" xfId="0" applyFont="1" applyAlignment="1">
      <alignment vertical="top" wrapText="1"/>
    </xf>
    <xf numFmtId="0" fontId="13" fillId="0" borderId="1" xfId="0" applyFont="1" applyBorder="1" applyAlignment="1">
      <alignment vertical="top" wrapText="1"/>
    </xf>
    <xf numFmtId="0" fontId="14" fillId="0" borderId="1" xfId="0" applyFont="1" applyBorder="1" applyAlignment="1">
      <alignment vertical="top" wrapText="1"/>
    </xf>
    <xf numFmtId="0" fontId="13" fillId="0" borderId="0" xfId="0" applyFont="1"/>
    <xf numFmtId="0" fontId="9" fillId="6" borderId="1" xfId="0" applyFont="1" applyFill="1" applyBorder="1" applyAlignment="1">
      <alignment vertical="top"/>
    </xf>
    <xf numFmtId="167" fontId="9" fillId="6" borderId="1" xfId="0" applyNumberFormat="1" applyFont="1" applyFill="1" applyBorder="1" applyAlignment="1">
      <alignment vertical="top"/>
    </xf>
    <xf numFmtId="0" fontId="9" fillId="6" borderId="1" xfId="0" applyFont="1" applyFill="1" applyBorder="1" applyAlignment="1">
      <alignment vertical="top" wrapText="1"/>
    </xf>
    <xf numFmtId="0" fontId="10" fillId="0" borderId="1" xfId="0" applyFont="1" applyBorder="1" applyAlignment="1">
      <alignment vertical="top"/>
    </xf>
    <xf numFmtId="167" fontId="11" fillId="0" borderId="1" xfId="0" applyNumberFormat="1" applyFont="1" applyBorder="1" applyAlignment="1">
      <alignment vertical="top"/>
    </xf>
    <xf numFmtId="0" fontId="11" fillId="0" borderId="1" xfId="0" applyFont="1" applyBorder="1" applyAlignment="1">
      <alignment vertical="top"/>
    </xf>
    <xf numFmtId="0" fontId="11" fillId="0" borderId="1" xfId="0" applyFont="1" applyBorder="1" applyAlignment="1">
      <alignment vertical="top" wrapText="1"/>
    </xf>
    <xf numFmtId="0" fontId="14" fillId="0" borderId="1" xfId="0" applyFont="1" applyBorder="1" applyAlignment="1">
      <alignment vertical="top"/>
    </xf>
    <xf numFmtId="167" fontId="14" fillId="0" borderId="1" xfId="0" applyNumberFormat="1" applyFont="1" applyBorder="1" applyAlignment="1">
      <alignment vertical="top"/>
    </xf>
    <xf numFmtId="0" fontId="3" fillId="2" borderId="1" xfId="0" applyFont="1" applyFill="1" applyBorder="1"/>
    <xf numFmtId="0" fontId="4" fillId="0" borderId="1" xfId="0" applyFont="1" applyBorder="1"/>
    <xf numFmtId="9" fontId="4" fillId="0" borderId="1" xfId="0" applyNumberFormat="1" applyFont="1" applyBorder="1"/>
    <xf numFmtId="0" fontId="15" fillId="0" borderId="1" xfId="0" applyFont="1" applyBorder="1" applyAlignment="1">
      <alignment vertical="top"/>
    </xf>
    <xf numFmtId="0" fontId="10" fillId="0" borderId="1" xfId="0" applyFont="1" applyBorder="1" applyAlignment="1">
      <alignment vertical="top" wrapText="1"/>
    </xf>
    <xf numFmtId="0" fontId="4" fillId="0" borderId="1" xfId="0" applyFont="1" applyBorder="1" applyAlignment="1">
      <alignment vertical="top"/>
    </xf>
    <xf numFmtId="0" fontId="4" fillId="0" borderId="1" xfId="0" applyFont="1" applyBorder="1" applyAlignment="1">
      <alignment vertical="top" wrapText="1"/>
    </xf>
    <xf numFmtId="167" fontId="4" fillId="0" borderId="1" xfId="0" applyNumberFormat="1" applyFont="1" applyBorder="1" applyAlignment="1">
      <alignment vertical="top"/>
    </xf>
    <xf numFmtId="0" fontId="5" fillId="0" borderId="1" xfId="0" applyFont="1" applyBorder="1" applyAlignment="1">
      <alignment vertical="top"/>
    </xf>
    <xf numFmtId="0" fontId="5" fillId="0" borderId="1" xfId="0" applyFont="1" applyBorder="1" applyAlignment="1">
      <alignment vertical="top" wrapText="1"/>
    </xf>
    <xf numFmtId="0" fontId="6" fillId="0" borderId="0" xfId="0" applyFont="1" applyAlignment="1">
      <alignment vertical="top"/>
    </xf>
    <xf numFmtId="0" fontId="14" fillId="0" borderId="0" xfId="0" applyFont="1" applyAlignment="1">
      <alignment vertical="top" wrapText="1"/>
    </xf>
    <xf numFmtId="0" fontId="0" fillId="0" borderId="0" xfId="0"/>
    <xf numFmtId="0" fontId="4" fillId="0" borderId="0" xfId="0" applyFont="1" applyAlignment="1">
      <alignment vertical="top" wrapText="1"/>
    </xf>
  </cellXfs>
  <cellStyles count="1">
    <cellStyle name="Normal" xfId="0" builtinId="0"/>
  </cellStyles>
  <dxfs count="30">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border>
        <left style="medium">
          <color rgb="FFFF0000"/>
        </left>
      </border>
    </dxf>
    <dxf>
      <font>
        <sz val="10"/>
        <color rgb="FFA6A6A6"/>
        <name val="Arial"/>
      </font>
      <fill>
        <patternFill patternType="solid">
          <fgColor rgb="FFA6A6A6"/>
        </patternFill>
      </fill>
    </dxf>
    <dxf>
      <font>
        <sz val="10"/>
        <color rgb="FFC00000"/>
        <name val="Arial"/>
      </font>
      <fill>
        <patternFill patternType="solid">
          <fgColor rgb="FFC00000"/>
        </patternFill>
      </fill>
    </dxf>
    <dxf>
      <font>
        <sz val="10"/>
        <color rgb="FF70AD47"/>
        <name val="Arial"/>
      </font>
      <fill>
        <patternFill patternType="solid">
          <fgColor rgb="FF70AD47"/>
        </patternFill>
      </fill>
    </dxf>
    <dxf>
      <font>
        <sz val="10"/>
        <color rgb="FFFFC000"/>
        <name val="Arial"/>
      </font>
      <fill>
        <patternFill patternType="solid">
          <fgColor rgb="FFFFC000"/>
        </patternFill>
      </fill>
    </dxf>
    <dxf>
      <font>
        <sz val="10"/>
        <color rgb="FF4472C4"/>
        <name val="Arial"/>
      </font>
      <fill>
        <patternFill patternType="solid">
          <fgColor rgb="FF4472C4"/>
        </patternFill>
      </fill>
    </dxf>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
      <font>
        <b/>
        <sz val="10"/>
        <color rgb="FF9C0006"/>
        <name val="Arial"/>
      </font>
    </dxf>
    <dxf>
      <fill>
        <patternFill patternType="solid">
          <fgColor rgb="FFFFEB9C"/>
        </patternFill>
      </fill>
    </dxf>
    <dxf>
      <fill>
        <patternFill patternType="solid">
          <fgColor rgb="FFFFEB9C"/>
        </patternFill>
      </fill>
    </dxf>
    <dxf>
      <fill>
        <patternFill patternType="solid">
          <fgColor rgb="FFC6EFCE"/>
        </patternFill>
      </fill>
    </dxf>
    <dxf>
      <fill>
        <patternFill patternType="solid">
          <fgColor rgb="FFFFEB9C"/>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Phase completion</a:t>
            </a:r>
          </a:p>
        </c:rich>
      </c:tx>
      <c:overlay val="1"/>
    </c:title>
    <c:autoTitleDeleted val="0"/>
    <c:plotArea>
      <c:layout/>
      <c:barChart>
        <c:barDir val="bar"/>
        <c:grouping val="clustered"/>
        <c:varyColors val="1"/>
        <c:ser>
          <c:idx val="0"/>
          <c:order val="0"/>
          <c:spPr>
            <a:ln>
              <a:prstDash val="solid"/>
            </a:ln>
          </c:spPr>
          <c:invertIfNegative val="1"/>
          <c:cat>
            <c:strRef>
              <c:f>Dashboard!$E$11:$E$18</c:f>
              <c:strCache>
                <c:ptCount val="8"/>
                <c:pt idx="0">
                  <c:v>Discovery</c:v>
                </c:pt>
                <c:pt idx="1">
                  <c:v>Design and Decide</c:v>
                </c:pt>
                <c:pt idx="2">
                  <c:v>Backend Spine</c:v>
                </c:pt>
                <c:pt idx="3">
                  <c:v>Live Core</c:v>
                </c:pt>
                <c:pt idx="4">
                  <c:v>Client Applications</c:v>
                </c:pt>
                <c:pt idx="5">
                  <c:v>External Integration</c:v>
                </c:pt>
                <c:pt idx="6">
                  <c:v>Harden and Prove</c:v>
                </c:pt>
                <c:pt idx="7">
                  <c:v>Evidence and Demo</c:v>
                </c:pt>
              </c:strCache>
            </c:strRef>
          </c:cat>
          <c:val>
            <c:numRef>
              <c:f>Dashboard!$I$11:$I$18</c:f>
              <c:numCache>
                <c:formatCode>0%</c:formatCode>
                <c:ptCount val="8"/>
                <c:pt idx="0">
                  <c:v>0.10526315789473684</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2480-4943-9871-C57BD6F48840}"/>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AI verdicts</a:t>
            </a:r>
          </a:p>
        </c:rich>
      </c:tx>
      <c:overlay val="1"/>
    </c:title>
    <c:autoTitleDeleted val="0"/>
    <c:plotArea>
      <c:layout/>
      <c:barChart>
        <c:barDir val="col"/>
        <c:grouping val="clustered"/>
        <c:varyColors val="1"/>
        <c:ser>
          <c:idx val="0"/>
          <c:order val="0"/>
          <c:spPr>
            <a:ln>
              <a:prstDash val="solid"/>
            </a:ln>
          </c:spPr>
          <c:invertIfNegative val="1"/>
          <c:cat>
            <c:strRef>
              <c:f>'AI Summary'!$A$6:$A$8</c:f>
              <c:strCache>
                <c:ptCount val="3"/>
                <c:pt idx="0">
                  <c:v>Accepted as-is</c:v>
                </c:pt>
                <c:pt idx="1">
                  <c:v>Accepted with edits</c:v>
                </c:pt>
                <c:pt idx="2">
                  <c:v>Rejected</c:v>
                </c:pt>
              </c:strCache>
            </c:strRef>
          </c:cat>
          <c:val>
            <c:numRef>
              <c:f>'AI Summary'!$B$6:$B$8</c:f>
              <c:numCache>
                <c:formatCode>General</c:formatCode>
                <c:ptCount val="3"/>
                <c:pt idx="0">
                  <c:v>0</c:v>
                </c:pt>
                <c:pt idx="1">
                  <c:v>1</c:v>
                </c:pt>
                <c:pt idx="2">
                  <c:v>1</c:v>
                </c:pt>
              </c:numCache>
            </c:numRef>
          </c:val>
          <c:extLst>
            <c:ext xmlns:c16="http://schemas.microsoft.com/office/drawing/2014/chart" uri="{C3380CC4-5D6E-409C-BE32-E72D297353CC}">
              <c16:uniqueId val="{00000000-F8AE-4154-BB5A-A1C2ACC5BB23}"/>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Contributions by tool</a:t>
            </a:r>
          </a:p>
        </c:rich>
      </c:tx>
      <c:overlay val="1"/>
    </c:title>
    <c:autoTitleDeleted val="0"/>
    <c:plotArea>
      <c:layout/>
      <c:barChart>
        <c:barDir val="col"/>
        <c:grouping val="clustered"/>
        <c:varyColors val="1"/>
        <c:ser>
          <c:idx val="0"/>
          <c:order val="0"/>
          <c:spPr>
            <a:ln>
              <a:prstDash val="solid"/>
            </a:ln>
          </c:spPr>
          <c:invertIfNegative val="1"/>
          <c:cat>
            <c:strRef>
              <c:f>'AI Summary'!$A$34:$A$39</c:f>
              <c:strCache>
                <c:ptCount val="6"/>
                <c:pt idx="0">
                  <c:v>ChatGPT</c:v>
                </c:pt>
                <c:pt idx="1">
                  <c:v>Gemini</c:v>
                </c:pt>
                <c:pt idx="2">
                  <c:v>Claude Code</c:v>
                </c:pt>
                <c:pt idx="3">
                  <c:v>Claude (chat)</c:v>
                </c:pt>
                <c:pt idx="4">
                  <c:v>GitHub Copilot</c:v>
                </c:pt>
                <c:pt idx="5">
                  <c:v>Other</c:v>
                </c:pt>
              </c:strCache>
            </c:strRef>
          </c:cat>
          <c:val>
            <c:numRef>
              <c:f>'AI Summary'!$B$34:$B$39</c:f>
              <c:numCache>
                <c:formatCode>General</c:formatCode>
                <c:ptCount val="6"/>
                <c:pt idx="0">
                  <c:v>0</c:v>
                </c:pt>
                <c:pt idx="1">
                  <c:v>0</c:v>
                </c:pt>
                <c:pt idx="2">
                  <c:v>2</c:v>
                </c:pt>
                <c:pt idx="3">
                  <c:v>0</c:v>
                </c:pt>
                <c:pt idx="4">
                  <c:v>0</c:v>
                </c:pt>
                <c:pt idx="5">
                  <c:v>0</c:v>
                </c:pt>
              </c:numCache>
            </c:numRef>
          </c:val>
          <c:extLst>
            <c:ext xmlns:c16="http://schemas.microsoft.com/office/drawing/2014/chart" uri="{C3380CC4-5D6E-409C-BE32-E72D297353CC}">
              <c16:uniqueId val="{00000000-E813-4B21-B171-23CEA277DED3}"/>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10</xdr:col>
      <xdr:colOff>0</xdr:colOff>
      <xdr:row>8</xdr:row>
      <xdr:rowOff>0</xdr:rowOff>
    </xdr:from>
    <xdr:ext cx="4680000" cy="324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7</xdr:col>
      <xdr:colOff>0</xdr:colOff>
      <xdr:row>3</xdr:row>
      <xdr:rowOff>0</xdr:rowOff>
    </xdr:from>
    <xdr:ext cx="4320000" cy="252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21</xdr:row>
      <xdr:rowOff>0</xdr:rowOff>
    </xdr:from>
    <xdr:ext cx="4320000" cy="2520000"/>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AH79"/>
  <sheetViews>
    <sheetView showGridLines="0" tabSelected="1" workbookViewId="0">
      <pane ySplit="2" topLeftCell="A3" activePane="bottomLeft" state="frozen"/>
      <selection pane="bottomLeft"/>
    </sheetView>
  </sheetViews>
  <sheetFormatPr defaultRowHeight="14.4" x14ac:dyDescent="0.3"/>
  <cols>
    <col min="1" max="1" width="30" customWidth="1"/>
    <col min="2" max="2" width="18" customWidth="1"/>
    <col min="3" max="3" width="2" customWidth="1"/>
    <col min="4" max="4" width="5" customWidth="1"/>
    <col min="5" max="5" width="34" customWidth="1"/>
    <col min="6" max="6" width="16" customWidth="1"/>
    <col min="7" max="7" width="11" customWidth="1"/>
    <col min="8" max="8" width="8" customWidth="1"/>
    <col min="9" max="9" width="9" customWidth="1"/>
    <col min="10" max="10" width="8" customWidth="1"/>
    <col min="14" max="34" width="5.44140625" customWidth="1"/>
  </cols>
  <sheetData>
    <row r="1" spans="1:34" ht="17.399999999999999" x14ac:dyDescent="0.3">
      <c r="A1" s="1" t="s">
        <v>0</v>
      </c>
    </row>
    <row r="2" spans="1:34" x14ac:dyDescent="0.3">
      <c r="A2" s="2" t="s">
        <v>1</v>
      </c>
      <c r="N2" s="3" t="s">
        <v>2</v>
      </c>
    </row>
    <row r="3" spans="1:34" x14ac:dyDescent="0.3">
      <c r="A3" s="4" t="s">
        <v>3</v>
      </c>
      <c r="B3" s="5" t="s">
        <v>4</v>
      </c>
      <c r="N3" s="6" t="s">
        <v>5</v>
      </c>
      <c r="O3" s="6" t="s">
        <v>6</v>
      </c>
      <c r="P3" s="6" t="s">
        <v>7</v>
      </c>
      <c r="Q3" s="6" t="s">
        <v>8</v>
      </c>
      <c r="R3" s="6" t="s">
        <v>9</v>
      </c>
      <c r="S3" s="6" t="s">
        <v>10</v>
      </c>
      <c r="T3" s="6" t="s">
        <v>11</v>
      </c>
      <c r="U3" s="6" t="s">
        <v>12</v>
      </c>
      <c r="V3" s="6" t="s">
        <v>13</v>
      </c>
      <c r="W3" s="6" t="s">
        <v>14</v>
      </c>
      <c r="X3" s="6" t="s">
        <v>15</v>
      </c>
      <c r="Y3" s="6" t="s">
        <v>16</v>
      </c>
      <c r="Z3" s="6" t="s">
        <v>17</v>
      </c>
      <c r="AA3" s="6" t="s">
        <v>18</v>
      </c>
      <c r="AB3" s="6" t="s">
        <v>19</v>
      </c>
      <c r="AC3" s="6" t="s">
        <v>20</v>
      </c>
      <c r="AD3" s="6" t="s">
        <v>21</v>
      </c>
      <c r="AE3" s="6" t="s">
        <v>22</v>
      </c>
      <c r="AF3" s="6" t="s">
        <v>23</v>
      </c>
      <c r="AG3" s="6" t="s">
        <v>24</v>
      </c>
      <c r="AH3" s="6" t="s">
        <v>25</v>
      </c>
    </row>
    <row r="4" spans="1:34" x14ac:dyDescent="0.3">
      <c r="A4" s="4" t="s">
        <v>26</v>
      </c>
      <c r="B4" s="7">
        <f ca="1">TODAY()</f>
        <v>46296</v>
      </c>
      <c r="N4" s="8">
        <f>SUMIFS(WBS!$J$5:'WBS'!$J$144,WBS!$F$5:'WBS'!$F$144,1,WBS!$B$5:'WBS'!$B$144,3)</f>
        <v>10</v>
      </c>
      <c r="O4" s="8">
        <f>SUMIFS(WBS!$J$5:'WBS'!$J$144,WBS!$F$5:'WBS'!$F$144,2,WBS!$B$5:'WBS'!$B$144,3)</f>
        <v>10</v>
      </c>
      <c r="P4" s="8">
        <f>SUMIFS(WBS!$J$5:'WBS'!$J$144,WBS!$F$5:'WBS'!$F$144,3,WBS!$B$5:'WBS'!$B$144,3)</f>
        <v>8.5</v>
      </c>
      <c r="Q4" s="8">
        <f>SUMIFS(WBS!$J$5:'WBS'!$J$144,WBS!$F$5:'WBS'!$F$144,4,WBS!$B$5:'WBS'!$B$144,3)</f>
        <v>8</v>
      </c>
      <c r="R4" s="8">
        <f>SUMIFS(WBS!$J$5:'WBS'!$J$144,WBS!$F$5:'WBS'!$F$144,5,WBS!$B$5:'WBS'!$B$144,3)</f>
        <v>8</v>
      </c>
      <c r="S4" s="8">
        <f>SUMIFS(WBS!$J$5:'WBS'!$J$144,WBS!$F$5:'WBS'!$F$144,6,WBS!$B$5:'WBS'!$B$144,3)</f>
        <v>9</v>
      </c>
      <c r="T4" s="8">
        <f>SUMIFS(WBS!$J$5:'WBS'!$J$144,WBS!$F$5:'WBS'!$F$144,7,WBS!$B$5:'WBS'!$B$144,3)</f>
        <v>8</v>
      </c>
      <c r="U4" s="8">
        <f>SUMIFS(WBS!$J$5:'WBS'!$J$144,WBS!$F$5:'WBS'!$F$144,8,WBS!$B$5:'WBS'!$B$144,3)</f>
        <v>8</v>
      </c>
      <c r="V4" s="8">
        <f>SUMIFS(WBS!$J$5:'WBS'!$J$144,WBS!$F$5:'WBS'!$F$144,9,WBS!$B$5:'WBS'!$B$144,3)</f>
        <v>8</v>
      </c>
      <c r="W4" s="8">
        <f>SUMIFS(WBS!$J$5:'WBS'!$J$144,WBS!$F$5:'WBS'!$F$144,10,WBS!$B$5:'WBS'!$B$144,3)</f>
        <v>8</v>
      </c>
      <c r="X4" s="8">
        <f>SUMIFS(WBS!$J$5:'WBS'!$J$144,WBS!$F$5:'WBS'!$F$144,11,WBS!$B$5:'WBS'!$B$144,3)</f>
        <v>8</v>
      </c>
      <c r="Y4" s="8">
        <f>SUMIFS(WBS!$J$5:'WBS'!$J$144,WBS!$F$5:'WBS'!$F$144,12,WBS!$B$5:'WBS'!$B$144,3)</f>
        <v>8</v>
      </c>
      <c r="Z4" s="8">
        <f>SUMIFS(WBS!$J$5:'WBS'!$J$144,WBS!$F$5:'WBS'!$F$144,13,WBS!$B$5:'WBS'!$B$144,3)</f>
        <v>8</v>
      </c>
      <c r="AA4" s="8">
        <f>SUMIFS(WBS!$J$5:'WBS'!$J$144,WBS!$F$5:'WBS'!$F$144,14,WBS!$B$5:'WBS'!$B$144,3)</f>
        <v>9.5</v>
      </c>
      <c r="AB4" s="8">
        <f>SUMIFS(WBS!$J$5:'WBS'!$J$144,WBS!$F$5:'WBS'!$F$144,15,WBS!$B$5:'WBS'!$B$144,3)</f>
        <v>8</v>
      </c>
      <c r="AC4" s="8">
        <f>SUMIFS(WBS!$J$5:'WBS'!$J$144,WBS!$F$5:'WBS'!$F$144,16,WBS!$B$5:'WBS'!$B$144,3)</f>
        <v>8</v>
      </c>
      <c r="AD4" s="8">
        <f>SUMIFS(WBS!$J$5:'WBS'!$J$144,WBS!$F$5:'WBS'!$F$144,17,WBS!$B$5:'WBS'!$B$144,3)</f>
        <v>8</v>
      </c>
      <c r="AE4" s="8">
        <f>SUMIFS(WBS!$J$5:'WBS'!$J$144,WBS!$F$5:'WBS'!$F$144,18,WBS!$B$5:'WBS'!$B$144,3)</f>
        <v>8</v>
      </c>
      <c r="AF4" s="8">
        <f>SUMIFS(WBS!$J$5:'WBS'!$J$144,WBS!$F$5:'WBS'!$F$144,19,WBS!$B$5:'WBS'!$B$144,3)</f>
        <v>7.5</v>
      </c>
      <c r="AG4" s="8">
        <f>SUMIFS(WBS!$J$5:'WBS'!$J$144,WBS!$F$5:'WBS'!$F$144,20,WBS!$B$5:'WBS'!$B$144,3)</f>
        <v>7</v>
      </c>
      <c r="AH4" s="8">
        <f>SUMIFS(WBS!$J$5:'WBS'!$J$144,WBS!$F$5:'WBS'!$F$144,21,WBS!$B$5:'WBS'!$B$144,3)</f>
        <v>6.5</v>
      </c>
    </row>
    <row r="5" spans="1:34" x14ac:dyDescent="0.3">
      <c r="A5" s="4" t="s">
        <v>27</v>
      </c>
      <c r="B5" s="9">
        <f ca="1">MAX(0,$B$4-$B$3+1)</f>
        <v>3</v>
      </c>
    </row>
    <row r="6" spans="1:34" x14ac:dyDescent="0.3">
      <c r="A6" s="4" t="s">
        <v>28</v>
      </c>
      <c r="B6" s="9">
        <v>21</v>
      </c>
    </row>
    <row r="7" spans="1:34" x14ac:dyDescent="0.3">
      <c r="A7" s="4" t="s">
        <v>29</v>
      </c>
      <c r="B7" s="9">
        <f ca="1">MAX(0,$B$6-$B$5)</f>
        <v>18</v>
      </c>
    </row>
    <row r="9" spans="1:34" x14ac:dyDescent="0.3">
      <c r="A9" s="10" t="s">
        <v>30</v>
      </c>
      <c r="D9" s="10" t="s">
        <v>31</v>
      </c>
    </row>
    <row r="10" spans="1:34" x14ac:dyDescent="0.3">
      <c r="A10" s="11" t="s">
        <v>32</v>
      </c>
      <c r="B10" s="12">
        <f>COUNTIFS(WBS!$B$5:'WBS'!$B$144,3,WBS!$L$5:'WBS'!$L$144,"&lt;&gt;Deferred")</f>
        <v>96</v>
      </c>
      <c r="D10" s="13" t="s">
        <v>33</v>
      </c>
      <c r="E10" s="13" t="s">
        <v>34</v>
      </c>
      <c r="F10" s="13" t="s">
        <v>35</v>
      </c>
      <c r="G10" s="13" t="s">
        <v>36</v>
      </c>
      <c r="H10" s="13" t="s">
        <v>37</v>
      </c>
      <c r="I10" s="13" t="s">
        <v>38</v>
      </c>
    </row>
    <row r="11" spans="1:34" x14ac:dyDescent="0.3">
      <c r="A11" s="11" t="s">
        <v>39</v>
      </c>
      <c r="B11" s="12">
        <f>COUNTIFS(WBS!$B$5:'WBS'!$B$144,3,WBS!$L$5:'WBS'!$L$144,"Done")</f>
        <v>2</v>
      </c>
      <c r="D11" s="14" t="s">
        <v>40</v>
      </c>
      <c r="E11" s="15" t="str">
        <f>INDEX(WBS!$D$5:$D$144,MATCH("1",WBS!$A$5:$A$144,0))</f>
        <v>Discovery</v>
      </c>
      <c r="F11" s="16" t="str">
        <f>"D"&amp;INDEX(WBS!$F$5:$F$144,MATCH("1",WBS!$A$5:$A$144,0))&amp;"-D"&amp;INDEX(WBS!$T$5:$T$144,MATCH("1",WBS!$A$5:$A$144,0))</f>
        <v>D1-D3</v>
      </c>
      <c r="G11" s="16">
        <f>INDEX(WBS!$J$5:$J$144,MATCH("1",WBS!$A$5:$A$144,0))</f>
        <v>28.5</v>
      </c>
      <c r="H11" s="16">
        <f>INDEX(WBS!$K$5:$K$144,MATCH("1",WBS!$A$5:$A$144,0))</f>
        <v>0</v>
      </c>
      <c r="I11" s="17">
        <f>INDEX(WBS!$M$5:$M$144,MATCH("1",WBS!$A$5:$A$144,0))</f>
        <v>0.10526315789473684</v>
      </c>
    </row>
    <row r="12" spans="1:34" x14ac:dyDescent="0.3">
      <c r="A12" s="11" t="s">
        <v>41</v>
      </c>
      <c r="B12" s="12">
        <f>COUNTIFS(WBS!$B$5:'WBS'!$B$144,3,WBS!$L$5:'WBS'!$L$144,"Doing")</f>
        <v>0</v>
      </c>
      <c r="D12" s="14" t="s">
        <v>42</v>
      </c>
      <c r="E12" s="15" t="str">
        <f>INDEX(WBS!$D$5:$D$144,MATCH("2",WBS!$A$5:$A$144,0))</f>
        <v>Design and Decide</v>
      </c>
      <c r="F12" s="16" t="str">
        <f>"D"&amp;INDEX(WBS!$F$5:$F$144,MATCH("2",WBS!$A$5:$A$144,0))&amp;"-D"&amp;INDEX(WBS!$T$5:$T$144,MATCH("2",WBS!$A$5:$A$144,0))</f>
        <v>D4-D5</v>
      </c>
      <c r="G12" s="16">
        <f>INDEX(WBS!$J$5:$J$144,MATCH("2",WBS!$A$5:$A$144,0))</f>
        <v>16</v>
      </c>
      <c r="H12" s="16">
        <f>INDEX(WBS!$K$5:$K$144,MATCH("2",WBS!$A$5:$A$144,0))</f>
        <v>0</v>
      </c>
      <c r="I12" s="17">
        <f>INDEX(WBS!$M$5:$M$144,MATCH("2",WBS!$A$5:$A$144,0))</f>
        <v>0</v>
      </c>
    </row>
    <row r="13" spans="1:34" x14ac:dyDescent="0.3">
      <c r="A13" s="11" t="s">
        <v>43</v>
      </c>
      <c r="B13" s="12">
        <f>COUNTIFS(WBS!$B$5:'WBS'!$B$144,3,WBS!$L$5:'WBS'!$L$144,"Blocked")</f>
        <v>0</v>
      </c>
      <c r="D13" s="14" t="s">
        <v>44</v>
      </c>
      <c r="E13" s="15" t="str">
        <f>INDEX(WBS!$D$5:$D$144,MATCH("3",WBS!$A$5:$A$144,0))</f>
        <v>Backend Spine</v>
      </c>
      <c r="F13" s="16" t="str">
        <f>"D"&amp;INDEX(WBS!$F$5:$F$144,MATCH("3",WBS!$A$5:$A$144,0))&amp;"-D"&amp;INDEX(WBS!$T$5:$T$144,MATCH("3",WBS!$A$5:$A$144,0))</f>
        <v>D6-D7</v>
      </c>
      <c r="G13" s="16">
        <f>INDEX(WBS!$J$5:$J$144,MATCH("3",WBS!$A$5:$A$144,0))</f>
        <v>17</v>
      </c>
      <c r="H13" s="16">
        <f>INDEX(WBS!$K$5:$K$144,MATCH("3",WBS!$A$5:$A$144,0))</f>
        <v>0</v>
      </c>
      <c r="I13" s="17">
        <f>INDEX(WBS!$M$5:$M$144,MATCH("3",WBS!$A$5:$A$144,0))</f>
        <v>0</v>
      </c>
    </row>
    <row r="14" spans="1:34" x14ac:dyDescent="0.3">
      <c r="A14" s="11" t="s">
        <v>45</v>
      </c>
      <c r="B14" s="12">
        <f>COUNTIFS(WBS!$B$5:'WBS'!$B$144,3,WBS!$L$5:'WBS'!$L$144,"To do")</f>
        <v>94</v>
      </c>
      <c r="D14" s="14" t="s">
        <v>46</v>
      </c>
      <c r="E14" s="15" t="str">
        <f>INDEX(WBS!$D$5:$D$144,MATCH("4",WBS!$A$5:$A$144,0))</f>
        <v>Live Core</v>
      </c>
      <c r="F14" s="16" t="str">
        <f>"D"&amp;INDEX(WBS!$F$5:$F$144,MATCH("4",WBS!$A$5:$A$144,0))&amp;"-D"&amp;INDEX(WBS!$T$5:$T$144,MATCH("4",WBS!$A$5:$A$144,0))</f>
        <v>D8-D9</v>
      </c>
      <c r="G14" s="16">
        <f>INDEX(WBS!$J$5:$J$144,MATCH("4",WBS!$A$5:$A$144,0))</f>
        <v>16</v>
      </c>
      <c r="H14" s="16">
        <f>INDEX(WBS!$K$5:$K$144,MATCH("4",WBS!$A$5:$A$144,0))</f>
        <v>0</v>
      </c>
      <c r="I14" s="17">
        <f>INDEX(WBS!$M$5:$M$144,MATCH("4",WBS!$A$5:$A$144,0))</f>
        <v>0</v>
      </c>
    </row>
    <row r="15" spans="1:34" x14ac:dyDescent="0.3">
      <c r="A15" s="11" t="s">
        <v>47</v>
      </c>
      <c r="B15" s="12">
        <f>COUNTIFS(WBS!$B$5:'WBS'!$B$144,3,WBS!$L$5:'WBS'!$L$144,"Deferred")</f>
        <v>0</v>
      </c>
      <c r="D15" s="14" t="s">
        <v>48</v>
      </c>
      <c r="E15" s="15" t="str">
        <f>INDEX(WBS!$D$5:$D$144,MATCH("5",WBS!$A$5:$A$144,0))</f>
        <v>Client Applications</v>
      </c>
      <c r="F15" s="16" t="str">
        <f>"D"&amp;INDEX(WBS!$F$5:$F$144,MATCH("5",WBS!$A$5:$A$144,0))&amp;"-D"&amp;INDEX(WBS!$T$5:$T$144,MATCH("5",WBS!$A$5:$A$144,0))</f>
        <v>D10-D13</v>
      </c>
      <c r="G15" s="16">
        <f>INDEX(WBS!$J$5:$J$144,MATCH("5",WBS!$A$5:$A$144,0))</f>
        <v>32</v>
      </c>
      <c r="H15" s="16">
        <f>INDEX(WBS!$K$5:$K$144,MATCH("5",WBS!$A$5:$A$144,0))</f>
        <v>0</v>
      </c>
      <c r="I15" s="17">
        <f>INDEX(WBS!$M$5:$M$144,MATCH("5",WBS!$A$5:$A$144,0))</f>
        <v>0</v>
      </c>
    </row>
    <row r="16" spans="1:34" x14ac:dyDescent="0.3">
      <c r="A16" s="11" t="s">
        <v>49</v>
      </c>
      <c r="B16" s="18">
        <f>IFERROR(SUMPRODUCT((WBS!$B$5:'WBS'!$B$144=3)*(WBS!$L$5:'WBS'!$L$144&lt;&gt;"Deferred")*WBS!$J$5:'WBS'!$J$144*WBS!$M$5:'WBS'!$M$144)/SUMPRODUCT((WBS!$B$5:'WBS'!$B$144=3)*(WBS!$L$5:'WBS'!$L$144&lt;&gt;"Deferred")*WBS!$J$5:'WBS'!$J$144),0)</f>
        <v>1.7441860465116279E-2</v>
      </c>
      <c r="D16" s="14" t="s">
        <v>50</v>
      </c>
      <c r="E16" s="15" t="str">
        <f>INDEX(WBS!$D$5:$D$144,MATCH("6",WBS!$A$5:$A$144,0))</f>
        <v>External Integration</v>
      </c>
      <c r="F16" s="16" t="str">
        <f>"D"&amp;INDEX(WBS!$F$5:$F$144,MATCH("6",WBS!$A$5:$A$144,0))&amp;"-D"&amp;INDEX(WBS!$T$5:$T$144,MATCH("6",WBS!$A$5:$A$144,0))</f>
        <v>D14-D14</v>
      </c>
      <c r="G16" s="16">
        <f>INDEX(WBS!$J$5:$J$144,MATCH("6",WBS!$A$5:$A$144,0))</f>
        <v>9.5</v>
      </c>
      <c r="H16" s="16">
        <f>INDEX(WBS!$K$5:$K$144,MATCH("6",WBS!$A$5:$A$144,0))</f>
        <v>0</v>
      </c>
      <c r="I16" s="17">
        <f>INDEX(WBS!$M$5:$M$144,MATCH("6",WBS!$A$5:$A$144,0))</f>
        <v>0</v>
      </c>
    </row>
    <row r="17" spans="1:9" x14ac:dyDescent="0.3">
      <c r="A17" s="11" t="s">
        <v>51</v>
      </c>
      <c r="B17" s="12">
        <f ca="1">COUNTIFS(WBS!$B$5:'WBS'!$B$144,3,WBS!$F$5:'WBS'!$F$144,"&lt;"&amp;$B$5,WBS!$L$5:'WBS'!$L$144,"&lt;&gt;Done",WBS!$L$5:'WBS'!$L$144,"&lt;&gt;Deferred")</f>
        <v>8</v>
      </c>
      <c r="D17" s="14" t="s">
        <v>52</v>
      </c>
      <c r="E17" s="15" t="str">
        <f>INDEX(WBS!$D$5:$D$144,MATCH("7",WBS!$A$5:$A$144,0))</f>
        <v>Harden and Prove</v>
      </c>
      <c r="F17" s="16" t="str">
        <f>"D"&amp;INDEX(WBS!$F$5:$F$144,MATCH("7",WBS!$A$5:$A$144,0))&amp;"-D"&amp;INDEX(WBS!$T$5:$T$144,MATCH("7",WBS!$A$5:$A$144,0))</f>
        <v>D15-D18</v>
      </c>
      <c r="G17" s="16">
        <f>INDEX(WBS!$J$5:$J$144,MATCH("7",WBS!$A$5:$A$144,0))</f>
        <v>32</v>
      </c>
      <c r="H17" s="16">
        <f>INDEX(WBS!$K$5:$K$144,MATCH("7",WBS!$A$5:$A$144,0))</f>
        <v>0</v>
      </c>
      <c r="I17" s="17">
        <f>INDEX(WBS!$M$5:$M$144,MATCH("7",WBS!$A$5:$A$144,0))</f>
        <v>0</v>
      </c>
    </row>
    <row r="18" spans="1:9" x14ac:dyDescent="0.3">
      <c r="A18" s="11" t="s">
        <v>53</v>
      </c>
      <c r="B18" s="12">
        <f>SUMPRODUCT((WBS!$B$5:'WBS'!$B$144=3)*(WBS!$L$5:'WBS'!$L$144&lt;&gt;"Deferred")*WBS!$J$5:'WBS'!$J$144)</f>
        <v>172</v>
      </c>
      <c r="D18" s="14" t="s">
        <v>54</v>
      </c>
      <c r="E18" s="15" t="str">
        <f>INDEX(WBS!$D$5:$D$144,MATCH("8",WBS!$A$5:$A$144,0))</f>
        <v>Evidence and Demo</v>
      </c>
      <c r="F18" s="16" t="str">
        <f>"D"&amp;INDEX(WBS!$F$5:$F$144,MATCH("8",WBS!$A$5:$A$144,0))&amp;"-D"&amp;INDEX(WBS!$T$5:$T$144,MATCH("8",WBS!$A$5:$A$144,0))</f>
        <v>D19-D21</v>
      </c>
      <c r="G18" s="16">
        <f>INDEX(WBS!$J$5:$J$144,MATCH("8",WBS!$A$5:$A$144,0))</f>
        <v>21</v>
      </c>
      <c r="H18" s="16">
        <f>INDEX(WBS!$K$5:$K$144,MATCH("8",WBS!$A$5:$A$144,0))</f>
        <v>0</v>
      </c>
      <c r="I18" s="17">
        <f>INDEX(WBS!$M$5:$M$144,MATCH("8",WBS!$A$5:$A$144,0))</f>
        <v>0</v>
      </c>
    </row>
    <row r="19" spans="1:9" x14ac:dyDescent="0.3">
      <c r="A19" s="11" t="s">
        <v>55</v>
      </c>
      <c r="B19" s="12">
        <f>SUMPRODUCT((WBS!$B$5:'WBS'!$B$144=3)*WBS!$K$5:'WBS'!$K$144)</f>
        <v>0</v>
      </c>
    </row>
    <row r="20" spans="1:9" x14ac:dyDescent="0.3">
      <c r="A20" s="11" t="s">
        <v>56</v>
      </c>
      <c r="B20" s="19">
        <f>IFERROR(SUMPRODUCT((WBS!$B$5:'WBS'!$B$144=3)*(WBS!$L$5:'WBS'!$L$144="Done")*WBS!$K$5:'WBS'!$K$144)/SUMPRODUCT((WBS!$B$5:'WBS'!$B$144=3)*(WBS!$L$5:'WBS'!$L$144="Done")*WBS!$J$5:'WBS'!$J$144),0)</f>
        <v>0</v>
      </c>
    </row>
    <row r="21" spans="1:9" x14ac:dyDescent="0.3">
      <c r="D21" s="10" t="s">
        <v>57</v>
      </c>
    </row>
    <row r="22" spans="1:9" x14ac:dyDescent="0.3">
      <c r="D22" s="13" t="s">
        <v>58</v>
      </c>
      <c r="E22" s="13" t="s">
        <v>59</v>
      </c>
      <c r="F22" s="13" t="s">
        <v>60</v>
      </c>
      <c r="G22" s="13" t="s">
        <v>61</v>
      </c>
      <c r="H22" s="13" t="s">
        <v>62</v>
      </c>
      <c r="I22" s="13" t="s">
        <v>63</v>
      </c>
    </row>
    <row r="23" spans="1:9" x14ac:dyDescent="0.3">
      <c r="A23" s="10" t="s">
        <v>64</v>
      </c>
      <c r="D23" s="16" t="s">
        <v>65</v>
      </c>
      <c r="E23" s="15" t="s">
        <v>66</v>
      </c>
      <c r="F23" s="16">
        <v>3</v>
      </c>
      <c r="G23" s="20">
        <f t="shared" ref="G23:G28" si="0">$B$3+$F23-1</f>
        <v>46296</v>
      </c>
      <c r="H23" s="16">
        <f>COUNTIFS(WBS!$B$5:'WBS'!$B$144,3,WBS!$F$5:'WBS'!$F$144,"&lt;="&amp;$F23,WBS!$L$5:'WBS'!$L$144,"&lt;&gt;Done",WBS!$L$5:'WBS'!$L$144,"&lt;&gt;Deferred")</f>
        <v>14</v>
      </c>
      <c r="I23" s="16" t="str">
        <f t="shared" ref="I23:I28" ca="1" si="1">IF($H23=0,"Cleared",IF($F23&lt;$B$5,"MISSED","Open"))</f>
        <v>Open</v>
      </c>
    </row>
    <row r="24" spans="1:9" x14ac:dyDescent="0.3">
      <c r="A24" s="11" t="s">
        <v>67</v>
      </c>
      <c r="B24" s="12">
        <f>'AI Summary'!$B$5</f>
        <v>2</v>
      </c>
      <c r="D24" s="16" t="s">
        <v>68</v>
      </c>
      <c r="E24" s="15" t="s">
        <v>69</v>
      </c>
      <c r="F24" s="16">
        <v>7</v>
      </c>
      <c r="G24" s="20">
        <f t="shared" si="0"/>
        <v>46300</v>
      </c>
      <c r="H24" s="16">
        <f>COUNTIFS(WBS!$B$5:'WBS'!$B$144,3,WBS!$F$5:'WBS'!$F$144,"&lt;="&amp;$F24,WBS!$L$5:'WBS'!$L$144,"&lt;&gt;Done",WBS!$L$5:'WBS'!$L$144,"&lt;&gt;Deferred")</f>
        <v>33</v>
      </c>
      <c r="I24" s="16" t="str">
        <f t="shared" ca="1" si="1"/>
        <v>Open</v>
      </c>
    </row>
    <row r="25" spans="1:9" x14ac:dyDescent="0.3">
      <c r="A25" s="11" t="s">
        <v>70</v>
      </c>
      <c r="B25" s="21">
        <f>'AI Summary'!$B$9</f>
        <v>1</v>
      </c>
      <c r="D25" s="16" t="s">
        <v>71</v>
      </c>
      <c r="E25" s="15" t="s">
        <v>72</v>
      </c>
      <c r="F25" s="16">
        <v>14</v>
      </c>
      <c r="G25" s="20">
        <f t="shared" si="0"/>
        <v>46307</v>
      </c>
      <c r="H25" s="16">
        <f>COUNTIFS(WBS!$B$5:'WBS'!$B$144,3,WBS!$F$5:'WBS'!$F$144,"&lt;="&amp;$F25,WBS!$L$5:'WBS'!$L$144,"&lt;&gt;Done",WBS!$L$5:'WBS'!$L$144,"&lt;&gt;Deferred")</f>
        <v>64</v>
      </c>
      <c r="I25" s="16" t="str">
        <f t="shared" ca="1" si="1"/>
        <v>Open</v>
      </c>
    </row>
    <row r="26" spans="1:9" x14ac:dyDescent="0.3">
      <c r="A26" s="11" t="s">
        <v>73</v>
      </c>
      <c r="B26" s="12">
        <f>'AI Summary'!$B$10</f>
        <v>2</v>
      </c>
      <c r="D26" s="16" t="s">
        <v>74</v>
      </c>
      <c r="E26" s="15" t="s">
        <v>75</v>
      </c>
      <c r="F26" s="16">
        <v>16</v>
      </c>
      <c r="G26" s="20">
        <f t="shared" si="0"/>
        <v>46309</v>
      </c>
      <c r="H26" s="16">
        <f>COUNTIFS(WBS!$B$5:'WBS'!$B$144,3,WBS!$F$5:'WBS'!$F$144,"&lt;="&amp;$F26,WBS!$L$5:'WBS'!$L$144,"&lt;&gt;Done",WBS!$L$5:'WBS'!$L$144,"&lt;&gt;Deferred")</f>
        <v>74</v>
      </c>
      <c r="I26" s="16" t="str">
        <f t="shared" ca="1" si="1"/>
        <v>Open</v>
      </c>
    </row>
    <row r="27" spans="1:9" x14ac:dyDescent="0.3">
      <c r="A27" s="11" t="s">
        <v>76</v>
      </c>
      <c r="B27" s="12">
        <f>'AI Summary'!$B$15</f>
        <v>0</v>
      </c>
      <c r="D27" s="16" t="s">
        <v>77</v>
      </c>
      <c r="E27" s="15" t="s">
        <v>78</v>
      </c>
      <c r="F27" s="16">
        <v>19</v>
      </c>
      <c r="G27" s="20">
        <f t="shared" si="0"/>
        <v>46312</v>
      </c>
      <c r="H27" s="16">
        <f>COUNTIFS(WBS!$B$5:'WBS'!$B$144,3,WBS!$F$5:'WBS'!$F$144,"&lt;="&amp;$F27,WBS!$L$5:'WBS'!$L$144,"&lt;&gt;Done",WBS!$L$5:'WBS'!$L$144,"&lt;&gt;Deferred")</f>
        <v>87</v>
      </c>
      <c r="I27" s="16" t="str">
        <f t="shared" ca="1" si="1"/>
        <v>Open</v>
      </c>
    </row>
    <row r="28" spans="1:9" x14ac:dyDescent="0.3">
      <c r="D28" s="16" t="s">
        <v>79</v>
      </c>
      <c r="E28" s="15" t="s">
        <v>80</v>
      </c>
      <c r="F28" s="16">
        <v>21</v>
      </c>
      <c r="G28" s="20">
        <f t="shared" si="0"/>
        <v>46314</v>
      </c>
      <c r="H28" s="16">
        <f>COUNTIFS(WBS!$B$5:'WBS'!$B$144,3,WBS!$F$5:'WBS'!$F$144,"&lt;="&amp;$F28,WBS!$L$5:'WBS'!$L$144,"&lt;&gt;Done",WBS!$L$5:'WBS'!$L$144,"&lt;&gt;Deferred")</f>
        <v>94</v>
      </c>
      <c r="I28" s="16" t="str">
        <f t="shared" ca="1" si="1"/>
        <v>Open</v>
      </c>
    </row>
    <row r="31" spans="1:9" x14ac:dyDescent="0.3">
      <c r="D31" s="10" t="s">
        <v>81</v>
      </c>
    </row>
    <row r="32" spans="1:9" ht="27" x14ac:dyDescent="0.3">
      <c r="D32" s="22" t="s">
        <v>82</v>
      </c>
      <c r="E32" s="22" t="s">
        <v>83</v>
      </c>
      <c r="F32" s="22" t="s">
        <v>84</v>
      </c>
      <c r="G32" s="22" t="s">
        <v>85</v>
      </c>
      <c r="H32" s="22" t="s">
        <v>86</v>
      </c>
      <c r="I32" s="22" t="s">
        <v>63</v>
      </c>
    </row>
    <row r="33" spans="4:10" x14ac:dyDescent="0.3">
      <c r="D33" s="23" t="s">
        <v>40</v>
      </c>
      <c r="E33" s="24" t="s">
        <v>87</v>
      </c>
      <c r="F33" s="25" t="s">
        <v>88</v>
      </c>
      <c r="G33" s="23">
        <f>COUNTA('AI Policy'!$A$9:$A$13)</f>
        <v>5</v>
      </c>
      <c r="H33" s="23">
        <v>5</v>
      </c>
      <c r="I33" s="23" t="str">
        <f t="shared" ref="I33:I39" si="2">IF($G33&gt;=$H33,"Covered","Need "&amp;($H33-$G33)&amp;" more")</f>
        <v>Covered</v>
      </c>
    </row>
    <row r="34" spans="4:10" x14ac:dyDescent="0.3">
      <c r="D34" s="23" t="s">
        <v>42</v>
      </c>
      <c r="E34" s="24" t="s">
        <v>89</v>
      </c>
      <c r="F34" s="25" t="s">
        <v>88</v>
      </c>
      <c r="G34" s="23">
        <f>COUNTA('AI Policy'!$A$18:$A$27)</f>
        <v>10</v>
      </c>
      <c r="H34" s="23">
        <v>10</v>
      </c>
      <c r="I34" s="23" t="str">
        <f t="shared" si="2"/>
        <v>Covered</v>
      </c>
    </row>
    <row r="35" spans="4:10" x14ac:dyDescent="0.3">
      <c r="D35" s="23" t="s">
        <v>44</v>
      </c>
      <c r="E35" s="24" t="s">
        <v>90</v>
      </c>
      <c r="F35" s="25" t="s">
        <v>91</v>
      </c>
      <c r="G35" s="23">
        <f>COUNTA('Prompt Library'!$B$5:$B$84)</f>
        <v>2</v>
      </c>
      <c r="H35" s="23">
        <v>10</v>
      </c>
      <c r="I35" s="23" t="str">
        <f t="shared" si="2"/>
        <v>Need 8 more</v>
      </c>
    </row>
    <row r="36" spans="4:10" x14ac:dyDescent="0.3">
      <c r="D36" s="23" t="s">
        <v>46</v>
      </c>
      <c r="E36" s="24" t="s">
        <v>92</v>
      </c>
      <c r="F36" s="25" t="s">
        <v>93</v>
      </c>
      <c r="G36" s="23">
        <f>COUNTA('AI Usage Log'!$N$5:$N$204)</f>
        <v>2</v>
      </c>
      <c r="H36" s="23">
        <f>'AI Summary'!$B$5</f>
        <v>2</v>
      </c>
      <c r="I36" s="23" t="str">
        <f t="shared" si="2"/>
        <v>Covered</v>
      </c>
    </row>
    <row r="37" spans="4:10" ht="22.8" x14ac:dyDescent="0.3">
      <c r="D37" s="23" t="s">
        <v>48</v>
      </c>
      <c r="E37" s="24" t="s">
        <v>94</v>
      </c>
      <c r="F37" s="25" t="s">
        <v>95</v>
      </c>
      <c r="G37" s="23">
        <f>COUNTA('AI Failures'!$B$5:$B$44)</f>
        <v>2</v>
      </c>
      <c r="H37" s="23">
        <v>8</v>
      </c>
      <c r="I37" s="23" t="str">
        <f t="shared" si="2"/>
        <v>Need 6 more</v>
      </c>
    </row>
    <row r="38" spans="4:10" ht="22.8" x14ac:dyDescent="0.3">
      <c r="D38" s="23" t="s">
        <v>50</v>
      </c>
      <c r="E38" s="24" t="s">
        <v>96</v>
      </c>
      <c r="F38" s="25" t="s">
        <v>97</v>
      </c>
      <c r="G38" s="23">
        <f>'AI Summary'!$B$7+'AI Summary'!$B$8</f>
        <v>2</v>
      </c>
      <c r="H38" s="23">
        <v>8</v>
      </c>
      <c r="I38" s="23" t="str">
        <f t="shared" si="2"/>
        <v>Need 6 more</v>
      </c>
    </row>
    <row r="39" spans="4:10" ht="22.8" x14ac:dyDescent="0.3">
      <c r="D39" s="23" t="s">
        <v>52</v>
      </c>
      <c r="E39" s="24" t="s">
        <v>98</v>
      </c>
      <c r="F39" s="25" t="s">
        <v>99</v>
      </c>
      <c r="G39" s="23">
        <f>COUNTA('Modified Impl'!$B$5:$B$44)</f>
        <v>1</v>
      </c>
      <c r="H39" s="23">
        <v>5</v>
      </c>
      <c r="I39" s="23" t="str">
        <f t="shared" si="2"/>
        <v>Need 4 more</v>
      </c>
    </row>
    <row r="42" spans="4:10" x14ac:dyDescent="0.3">
      <c r="D42" s="10" t="s">
        <v>100</v>
      </c>
    </row>
    <row r="43" spans="4:10" ht="27" x14ac:dyDescent="0.3">
      <c r="D43" s="22" t="s">
        <v>101</v>
      </c>
      <c r="E43" s="22" t="s">
        <v>102</v>
      </c>
      <c r="F43" s="22" t="s">
        <v>34</v>
      </c>
      <c r="G43" s="22" t="s">
        <v>35</v>
      </c>
      <c r="H43" s="22" t="s">
        <v>103</v>
      </c>
      <c r="I43" s="22" t="s">
        <v>39</v>
      </c>
      <c r="J43" s="22" t="s">
        <v>38</v>
      </c>
    </row>
    <row r="44" spans="4:10" x14ac:dyDescent="0.3">
      <c r="D44" s="26" t="s">
        <v>104</v>
      </c>
      <c r="E44" s="25" t="str">
        <f>TRIM(INDEX(WBS!$C$5:$C$144,MATCH($D44,WBS!$A$5:$A$144,0)))</f>
        <v>Brief analysis and gap discovery</v>
      </c>
      <c r="F44" s="25" t="str">
        <f>INDEX(WBS!$D$5:$D$144,MATCH($D44,WBS!$A$5:$A$144,0))</f>
        <v>Discovery</v>
      </c>
      <c r="G44" s="23" t="str">
        <f>"D"&amp;INDEX(WBS!$F$5:$F$144,MATCH($D44,WBS!$A$5:$A$144,0))&amp;"-D"&amp;INDEX(WBS!$T$5:$T$144,MATCH($D44,WBS!$A$5:$A$144,0))</f>
        <v>D1-D2</v>
      </c>
      <c r="H44" s="23">
        <f>COUNTIFS(WBS!$R$5:$R$144,$D44,WBS!$B$5:$B$144,3)</f>
        <v>3</v>
      </c>
      <c r="I44" s="23">
        <f>COUNTIFS(WBS!$R$5:$R$144,$D44,WBS!$B$5:$B$144,3,WBS!$L$5:$L$144,"Done")</f>
        <v>0</v>
      </c>
      <c r="J44" s="27">
        <f>INDEX(WBS!$M$5:$M$144,MATCH($D44,WBS!$A$5:$A$144,0))</f>
        <v>0</v>
      </c>
    </row>
    <row r="45" spans="4:10" x14ac:dyDescent="0.3">
      <c r="D45" s="26" t="s">
        <v>105</v>
      </c>
      <c r="E45" s="25" t="str">
        <f>TRIM(INDEX(WBS!$C$5:$C$144,MATCH($D45,WBS!$A$5:$A$144,0)))</f>
        <v>Stakeholder simulation</v>
      </c>
      <c r="F45" s="25" t="str">
        <f>INDEX(WBS!$D$5:$D$144,MATCH($D45,WBS!$A$5:$A$144,0))</f>
        <v>Discovery</v>
      </c>
      <c r="G45" s="23" t="str">
        <f>"D"&amp;INDEX(WBS!$F$5:$F$144,MATCH($D45,WBS!$A$5:$A$144,0))&amp;"-D"&amp;INDEX(WBS!$T$5:$T$144,MATCH($D45,WBS!$A$5:$A$144,0))</f>
        <v>D1-D3</v>
      </c>
      <c r="H45" s="23">
        <f>COUNTIFS(WBS!$R$5:$R$144,$D45,WBS!$B$5:$B$144,3)</f>
        <v>4</v>
      </c>
      <c r="I45" s="23">
        <f>COUNTIFS(WBS!$R$5:$R$144,$D45,WBS!$B$5:$B$144,3,WBS!$L$5:$L$144,"Done")</f>
        <v>0</v>
      </c>
      <c r="J45" s="27">
        <f>INDEX(WBS!$M$5:$M$144,MATCH($D45,WBS!$A$5:$A$144,0))</f>
        <v>0</v>
      </c>
    </row>
    <row r="46" spans="4:10" x14ac:dyDescent="0.3">
      <c r="D46" s="26" t="s">
        <v>106</v>
      </c>
      <c r="E46" s="25" t="str">
        <f>TRIM(INDEX(WBS!$C$5:$C$144,MATCH($D46,WBS!$A$5:$A$144,0)))</f>
        <v>Requirement engineering</v>
      </c>
      <c r="F46" s="25" t="str">
        <f>INDEX(WBS!$D$5:$D$144,MATCH($D46,WBS!$A$5:$A$144,0))</f>
        <v>Discovery</v>
      </c>
      <c r="G46" s="23" t="str">
        <f>"D"&amp;INDEX(WBS!$F$5:$F$144,MATCH($D46,WBS!$A$5:$A$144,0))&amp;"-D"&amp;INDEX(WBS!$T$5:$T$144,MATCH($D46,WBS!$A$5:$A$144,0))</f>
        <v>D2-D3</v>
      </c>
      <c r="H46" s="23">
        <f>COUNTIFS(WBS!$R$5:$R$144,$D46,WBS!$B$5:$B$144,3)</f>
        <v>4</v>
      </c>
      <c r="I46" s="23">
        <f>COUNTIFS(WBS!$R$5:$R$144,$D46,WBS!$B$5:$B$144,3,WBS!$L$5:$L$144,"Done")</f>
        <v>0</v>
      </c>
      <c r="J46" s="27">
        <f>INDEX(WBS!$M$5:$M$144,MATCH($D46,WBS!$A$5:$A$144,0))</f>
        <v>0</v>
      </c>
    </row>
    <row r="47" spans="4:10" x14ac:dyDescent="0.3">
      <c r="D47" s="26" t="s">
        <v>107</v>
      </c>
      <c r="E47" s="25" t="str">
        <f>TRIM(INDEX(WBS!$C$5:$C$144,MATCH($D47,WBS!$A$5:$A$144,0)))</f>
        <v>Scope control</v>
      </c>
      <c r="F47" s="25" t="str">
        <f>INDEX(WBS!$D$5:$D$144,MATCH($D47,WBS!$A$5:$A$144,0))</f>
        <v>Discovery</v>
      </c>
      <c r="G47" s="23" t="str">
        <f>"D"&amp;INDEX(WBS!$F$5:$F$144,MATCH($D47,WBS!$A$5:$A$144,0))&amp;"-D"&amp;INDEX(WBS!$T$5:$T$144,MATCH($D47,WBS!$A$5:$A$144,0))</f>
        <v>D3-D3</v>
      </c>
      <c r="H47" s="23">
        <f>COUNTIFS(WBS!$R$5:$R$144,$D47,WBS!$B$5:$B$144,3)</f>
        <v>2</v>
      </c>
      <c r="I47" s="23">
        <f>COUNTIFS(WBS!$R$5:$R$144,$D47,WBS!$B$5:$B$144,3,WBS!$L$5:$L$144,"Done")</f>
        <v>0</v>
      </c>
      <c r="J47" s="27">
        <f>INDEX(WBS!$M$5:$M$144,MATCH($D47,WBS!$A$5:$A$144,0))</f>
        <v>0</v>
      </c>
    </row>
    <row r="48" spans="4:10" x14ac:dyDescent="0.3">
      <c r="D48" s="26" t="s">
        <v>108</v>
      </c>
      <c r="E48" s="25" t="str">
        <f>TRIM(INDEX(WBS!$C$5:$C$144,MATCH($D48,WBS!$A$5:$A$144,0)))</f>
        <v>Project setup</v>
      </c>
      <c r="F48" s="25" t="str">
        <f>INDEX(WBS!$D$5:$D$144,MATCH($D48,WBS!$A$5:$A$144,0))</f>
        <v>Discovery</v>
      </c>
      <c r="G48" s="23" t="str">
        <f>"D"&amp;INDEX(WBS!$F$5:$F$144,MATCH($D48,WBS!$A$5:$A$144,0))&amp;"-D"&amp;INDEX(WBS!$T$5:$T$144,MATCH($D48,WBS!$A$5:$A$144,0))</f>
        <v>D1-D1</v>
      </c>
      <c r="H48" s="23">
        <f>COUNTIFS(WBS!$R$5:$R$144,$D48,WBS!$B$5:$B$144,3)</f>
        <v>3</v>
      </c>
      <c r="I48" s="23">
        <f>COUNTIFS(WBS!$R$5:$R$144,$D48,WBS!$B$5:$B$144,3,WBS!$L$5:$L$144,"Done")</f>
        <v>2</v>
      </c>
      <c r="J48" s="27">
        <f>INDEX(WBS!$M$5:$M$144,MATCH($D48,WBS!$A$5:$A$144,0))</f>
        <v>0.75</v>
      </c>
    </row>
    <row r="49" spans="4:10" x14ac:dyDescent="0.3">
      <c r="D49" s="26" t="s">
        <v>109</v>
      </c>
      <c r="E49" s="25" t="str">
        <f>TRIM(INDEX(WBS!$C$5:$C$144,MATCH($D49,WBS!$A$5:$A$144,0)))</f>
        <v>Domain design</v>
      </c>
      <c r="F49" s="25" t="str">
        <f>INDEX(WBS!$D$5:$D$144,MATCH($D49,WBS!$A$5:$A$144,0))</f>
        <v>Design and Decide</v>
      </c>
      <c r="G49" s="23" t="str">
        <f>"D"&amp;INDEX(WBS!$F$5:$F$144,MATCH($D49,WBS!$A$5:$A$144,0))&amp;"-D"&amp;INDEX(WBS!$T$5:$T$144,MATCH($D49,WBS!$A$5:$A$144,0))</f>
        <v>D4-D4</v>
      </c>
      <c r="H49" s="23">
        <f>COUNTIFS(WBS!$R$5:$R$144,$D49,WBS!$B$5:$B$144,3)</f>
        <v>2</v>
      </c>
      <c r="I49" s="23">
        <f>COUNTIFS(WBS!$R$5:$R$144,$D49,WBS!$B$5:$B$144,3,WBS!$L$5:$L$144,"Done")</f>
        <v>0</v>
      </c>
      <c r="J49" s="27">
        <f>INDEX(WBS!$M$5:$M$144,MATCH($D49,WBS!$A$5:$A$144,0))</f>
        <v>0</v>
      </c>
    </row>
    <row r="50" spans="4:10" x14ac:dyDescent="0.3">
      <c r="D50" s="26" t="s">
        <v>110</v>
      </c>
      <c r="E50" s="25" t="str">
        <f>TRIM(INDEX(WBS!$C$5:$C$144,MATCH($D50,WBS!$A$5:$A$144,0)))</f>
        <v>Architecture decisions</v>
      </c>
      <c r="F50" s="25" t="str">
        <f>INDEX(WBS!$D$5:$D$144,MATCH($D50,WBS!$A$5:$A$144,0))</f>
        <v>Design and Decide</v>
      </c>
      <c r="G50" s="23" t="str">
        <f>"D"&amp;INDEX(WBS!$F$5:$F$144,MATCH($D50,WBS!$A$5:$A$144,0))&amp;"-D"&amp;INDEX(WBS!$T$5:$T$144,MATCH($D50,WBS!$A$5:$A$144,0))</f>
        <v>D4-D4</v>
      </c>
      <c r="H50" s="23">
        <f>COUNTIFS(WBS!$R$5:$R$144,$D50,WBS!$B$5:$B$144,3)</f>
        <v>2</v>
      </c>
      <c r="I50" s="23">
        <f>COUNTIFS(WBS!$R$5:$R$144,$D50,WBS!$B$5:$B$144,3,WBS!$L$5:$L$144,"Done")</f>
        <v>0</v>
      </c>
      <c r="J50" s="27">
        <f>INDEX(WBS!$M$5:$M$144,MATCH($D50,WBS!$A$5:$A$144,0))</f>
        <v>0</v>
      </c>
    </row>
    <row r="51" spans="4:10" x14ac:dyDescent="0.3">
      <c r="D51" s="26" t="s">
        <v>111</v>
      </c>
      <c r="E51" s="25" t="str">
        <f>TRIM(INDEX(WBS!$C$5:$C$144,MATCH($D51,WBS!$A$5:$A$144,0)))</f>
        <v>Security design</v>
      </c>
      <c r="F51" s="25" t="str">
        <f>INDEX(WBS!$D$5:$D$144,MATCH($D51,WBS!$A$5:$A$144,0))</f>
        <v>Design and Decide</v>
      </c>
      <c r="G51" s="23" t="str">
        <f>"D"&amp;INDEX(WBS!$F$5:$F$144,MATCH($D51,WBS!$A$5:$A$144,0))&amp;"-D"&amp;INDEX(WBS!$T$5:$T$144,MATCH($D51,WBS!$A$5:$A$144,0))</f>
        <v>D5-D5</v>
      </c>
      <c r="H51" s="23">
        <f>COUNTIFS(WBS!$R$5:$R$144,$D51,WBS!$B$5:$B$144,3)</f>
        <v>3</v>
      </c>
      <c r="I51" s="23">
        <f>COUNTIFS(WBS!$R$5:$R$144,$D51,WBS!$B$5:$B$144,3,WBS!$L$5:$L$144,"Done")</f>
        <v>0</v>
      </c>
      <c r="J51" s="27">
        <f>INDEX(WBS!$M$5:$M$144,MATCH($D51,WBS!$A$5:$A$144,0))</f>
        <v>0</v>
      </c>
    </row>
    <row r="52" spans="4:10" x14ac:dyDescent="0.3">
      <c r="D52" s="26" t="s">
        <v>112</v>
      </c>
      <c r="E52" s="25" t="str">
        <f>TRIM(INDEX(WBS!$C$5:$C$144,MATCH($D52,WBS!$A$5:$A$144,0)))</f>
        <v>Design system</v>
      </c>
      <c r="F52" s="25" t="str">
        <f>INDEX(WBS!$D$5:$D$144,MATCH($D52,WBS!$A$5:$A$144,0))</f>
        <v>Design and Decide</v>
      </c>
      <c r="G52" s="23" t="str">
        <f>"D"&amp;INDEX(WBS!$F$5:$F$144,MATCH($D52,WBS!$A$5:$A$144,0))&amp;"-D"&amp;INDEX(WBS!$T$5:$T$144,MATCH($D52,WBS!$A$5:$A$144,0))</f>
        <v>D5-D5</v>
      </c>
      <c r="H52" s="23">
        <f>COUNTIFS(WBS!$R$5:$R$144,$D52,WBS!$B$5:$B$144,3)</f>
        <v>2</v>
      </c>
      <c r="I52" s="23">
        <f>COUNTIFS(WBS!$R$5:$R$144,$D52,WBS!$B$5:$B$144,3,WBS!$L$5:$L$144,"Done")</f>
        <v>0</v>
      </c>
      <c r="J52" s="27">
        <f>INDEX(WBS!$M$5:$M$144,MATCH($D52,WBS!$A$5:$A$144,0))</f>
        <v>0</v>
      </c>
    </row>
    <row r="53" spans="4:10" x14ac:dyDescent="0.3">
      <c r="D53" s="26" t="s">
        <v>113</v>
      </c>
      <c r="E53" s="25" t="str">
        <f>TRIM(INDEX(WBS!$C$5:$C$144,MATCH($D53,WBS!$A$5:$A$144,0)))</f>
        <v>Solution foundation</v>
      </c>
      <c r="F53" s="25" t="str">
        <f>INDEX(WBS!$D$5:$D$144,MATCH($D53,WBS!$A$5:$A$144,0))</f>
        <v>Backend Spine</v>
      </c>
      <c r="G53" s="23" t="str">
        <f>"D"&amp;INDEX(WBS!$F$5:$F$144,MATCH($D53,WBS!$A$5:$A$144,0))&amp;"-D"&amp;INDEX(WBS!$T$5:$T$144,MATCH($D53,WBS!$A$5:$A$144,0))</f>
        <v>D6-D6</v>
      </c>
      <c r="H53" s="23">
        <f>COUNTIFS(WBS!$R$5:$R$144,$D53,WBS!$B$5:$B$144,3)</f>
        <v>3</v>
      </c>
      <c r="I53" s="23">
        <f>COUNTIFS(WBS!$R$5:$R$144,$D53,WBS!$B$5:$B$144,3,WBS!$L$5:$L$144,"Done")</f>
        <v>0</v>
      </c>
      <c r="J53" s="27">
        <f>INDEX(WBS!$M$5:$M$144,MATCH($D53,WBS!$A$5:$A$144,0))</f>
        <v>0</v>
      </c>
    </row>
    <row r="54" spans="4:10" x14ac:dyDescent="0.3">
      <c r="D54" s="26" t="s">
        <v>114</v>
      </c>
      <c r="E54" s="25" t="str">
        <f>TRIM(INDEX(WBS!$C$5:$C$144,MATCH($D54,WBS!$A$5:$A$144,0)))</f>
        <v>Identity foundation</v>
      </c>
      <c r="F54" s="25" t="str">
        <f>INDEX(WBS!$D$5:$D$144,MATCH($D54,WBS!$A$5:$A$144,0))</f>
        <v>Backend Spine</v>
      </c>
      <c r="G54" s="23" t="str">
        <f>"D"&amp;INDEX(WBS!$F$5:$F$144,MATCH($D54,WBS!$A$5:$A$144,0))&amp;"-D"&amp;INDEX(WBS!$T$5:$T$144,MATCH($D54,WBS!$A$5:$A$144,0))</f>
        <v>D6-D6</v>
      </c>
      <c r="H54" s="23">
        <f>COUNTIFS(WBS!$R$5:$R$144,$D54,WBS!$B$5:$B$144,3)</f>
        <v>1</v>
      </c>
      <c r="I54" s="23">
        <f>COUNTIFS(WBS!$R$5:$R$144,$D54,WBS!$B$5:$B$144,3,WBS!$L$5:$L$144,"Done")</f>
        <v>0</v>
      </c>
      <c r="J54" s="27">
        <f>INDEX(WBS!$M$5:$M$144,MATCH($D54,WBS!$A$5:$A$144,0))</f>
        <v>0</v>
      </c>
    </row>
    <row r="55" spans="4:10" x14ac:dyDescent="0.3">
      <c r="D55" s="26" t="s">
        <v>115</v>
      </c>
      <c r="E55" s="25" t="str">
        <f>TRIM(INDEX(WBS!$C$5:$C$144,MATCH($D55,WBS!$A$5:$A$144,0)))</f>
        <v>Network and Timetable module</v>
      </c>
      <c r="F55" s="25" t="str">
        <f>INDEX(WBS!$D$5:$D$144,MATCH($D55,WBS!$A$5:$A$144,0))</f>
        <v>Backend Spine</v>
      </c>
      <c r="G55" s="23" t="str">
        <f>"D"&amp;INDEX(WBS!$F$5:$F$144,MATCH($D55,WBS!$A$5:$A$144,0))&amp;"-D"&amp;INDEX(WBS!$T$5:$T$144,MATCH($D55,WBS!$A$5:$A$144,0))</f>
        <v>D7-D7</v>
      </c>
      <c r="H55" s="23">
        <f>COUNTIFS(WBS!$R$5:$R$144,$D55,WBS!$B$5:$B$144,3)</f>
        <v>3</v>
      </c>
      <c r="I55" s="23">
        <f>COUNTIFS(WBS!$R$5:$R$144,$D55,WBS!$B$5:$B$144,3,WBS!$L$5:$L$144,"Done")</f>
        <v>0</v>
      </c>
      <c r="J55" s="27">
        <f>INDEX(WBS!$M$5:$M$144,MATCH($D55,WBS!$A$5:$A$144,0))</f>
        <v>0</v>
      </c>
    </row>
    <row r="56" spans="4:10" x14ac:dyDescent="0.3">
      <c r="D56" s="26" t="s">
        <v>116</v>
      </c>
      <c r="E56" s="25" t="str">
        <f>TRIM(INDEX(WBS!$C$5:$C$144,MATCH($D56,WBS!$A$5:$A$144,0)))</f>
        <v>Engineering platform</v>
      </c>
      <c r="F56" s="25" t="str">
        <f>INDEX(WBS!$D$5:$D$144,MATCH($D56,WBS!$A$5:$A$144,0))</f>
        <v>Backend Spine</v>
      </c>
      <c r="G56" s="23" t="str">
        <f>"D"&amp;INDEX(WBS!$F$5:$F$144,MATCH($D56,WBS!$A$5:$A$144,0))&amp;"-D"&amp;INDEX(WBS!$T$5:$T$144,MATCH($D56,WBS!$A$5:$A$144,0))</f>
        <v>D6-D7</v>
      </c>
      <c r="H56" s="23">
        <f>COUNTIFS(WBS!$R$5:$R$144,$D56,WBS!$B$5:$B$144,3)</f>
        <v>3</v>
      </c>
      <c r="I56" s="23">
        <f>COUNTIFS(WBS!$R$5:$R$144,$D56,WBS!$B$5:$B$144,3,WBS!$L$5:$L$144,"Done")</f>
        <v>0</v>
      </c>
      <c r="J56" s="27">
        <f>INDEX(WBS!$M$5:$M$144,MATCH($D56,WBS!$A$5:$A$144,0))</f>
        <v>0</v>
      </c>
    </row>
    <row r="57" spans="4:10" x14ac:dyDescent="0.3">
      <c r="D57" s="26" t="s">
        <v>117</v>
      </c>
      <c r="E57" s="25" t="str">
        <f>TRIM(INDEX(WBS!$C$5:$C$144,MATCH($D57,WBS!$A$5:$A$144,0)))</f>
        <v>Journey and telemetry</v>
      </c>
      <c r="F57" s="25" t="str">
        <f>INDEX(WBS!$D$5:$D$144,MATCH($D57,WBS!$A$5:$A$144,0))</f>
        <v>Live Core</v>
      </c>
      <c r="G57" s="23" t="str">
        <f>"D"&amp;INDEX(WBS!$F$5:$F$144,MATCH($D57,WBS!$A$5:$A$144,0))&amp;"-D"&amp;INDEX(WBS!$T$5:$T$144,MATCH($D57,WBS!$A$5:$A$144,0))</f>
        <v>D8-D8</v>
      </c>
      <c r="H57" s="23">
        <f>COUNTIFS(WBS!$R$5:$R$144,$D57,WBS!$B$5:$B$144,3)</f>
        <v>2</v>
      </c>
      <c r="I57" s="23">
        <f>COUNTIFS(WBS!$R$5:$R$144,$D57,WBS!$B$5:$B$144,3,WBS!$L$5:$L$144,"Done")</f>
        <v>0</v>
      </c>
      <c r="J57" s="27">
        <f>INDEX(WBS!$M$5:$M$144,MATCH($D57,WBS!$A$5:$A$144,0))</f>
        <v>0</v>
      </c>
    </row>
    <row r="58" spans="4:10" x14ac:dyDescent="0.3">
      <c r="D58" s="26" t="s">
        <v>118</v>
      </c>
      <c r="E58" s="25" t="str">
        <f>TRIM(INDEX(WBS!$C$5:$C$144,MATCH($D58,WBS!$A$5:$A$144,0)))</f>
        <v>ETA engine</v>
      </c>
      <c r="F58" s="25" t="str">
        <f>INDEX(WBS!$D$5:$D$144,MATCH($D58,WBS!$A$5:$A$144,0))</f>
        <v>Live Core</v>
      </c>
      <c r="G58" s="23" t="str">
        <f>"D"&amp;INDEX(WBS!$F$5:$F$144,MATCH($D58,WBS!$A$5:$A$144,0))&amp;"-D"&amp;INDEX(WBS!$T$5:$T$144,MATCH($D58,WBS!$A$5:$A$144,0))</f>
        <v>D8-D8</v>
      </c>
      <c r="H58" s="23">
        <f>COUNTIFS(WBS!$R$5:$R$144,$D58,WBS!$B$5:$B$144,3)</f>
        <v>2</v>
      </c>
      <c r="I58" s="23">
        <f>COUNTIFS(WBS!$R$5:$R$144,$D58,WBS!$B$5:$B$144,3,WBS!$L$5:$L$144,"Done")</f>
        <v>0</v>
      </c>
      <c r="J58" s="27">
        <f>INDEX(WBS!$M$5:$M$144,MATCH($D58,WBS!$A$5:$A$144,0))</f>
        <v>0</v>
      </c>
    </row>
    <row r="59" spans="4:10" x14ac:dyDescent="0.3">
      <c r="D59" s="26" t="s">
        <v>119</v>
      </c>
      <c r="E59" s="25" t="str">
        <f>TRIM(INDEX(WBS!$C$5:$C$144,MATCH($D59,WBS!$A$5:$A$144,0)))</f>
        <v>Realtime distribution</v>
      </c>
      <c r="F59" s="25" t="str">
        <f>INDEX(WBS!$D$5:$D$144,MATCH($D59,WBS!$A$5:$A$144,0))</f>
        <v>Live Core</v>
      </c>
      <c r="G59" s="23" t="str">
        <f>"D"&amp;INDEX(WBS!$F$5:$F$144,MATCH($D59,WBS!$A$5:$A$144,0))&amp;"-D"&amp;INDEX(WBS!$T$5:$T$144,MATCH($D59,WBS!$A$5:$A$144,0))</f>
        <v>D9-D9</v>
      </c>
      <c r="H59" s="23">
        <f>COUNTIFS(WBS!$R$5:$R$144,$D59,WBS!$B$5:$B$144,3)</f>
        <v>2</v>
      </c>
      <c r="I59" s="23">
        <f>COUNTIFS(WBS!$R$5:$R$144,$D59,WBS!$B$5:$B$144,3,WBS!$L$5:$L$144,"Done")</f>
        <v>0</v>
      </c>
      <c r="J59" s="27">
        <f>INDEX(WBS!$M$5:$M$144,MATCH($D59,WBS!$A$5:$A$144,0))</f>
        <v>0</v>
      </c>
    </row>
    <row r="60" spans="4:10" x14ac:dyDescent="0.3">
      <c r="D60" s="26" t="s">
        <v>120</v>
      </c>
      <c r="E60" s="25" t="str">
        <f>TRIM(INDEX(WBS!$C$5:$C$144,MATCH($D60,WBS!$A$5:$A$144,0)))</f>
        <v>Disruptions</v>
      </c>
      <c r="F60" s="25" t="str">
        <f>INDEX(WBS!$D$5:$D$144,MATCH($D60,WBS!$A$5:$A$144,0))</f>
        <v>Live Core</v>
      </c>
      <c r="G60" s="23" t="str">
        <f>"D"&amp;INDEX(WBS!$F$5:$F$144,MATCH($D60,WBS!$A$5:$A$144,0))&amp;"-D"&amp;INDEX(WBS!$T$5:$T$144,MATCH($D60,WBS!$A$5:$A$144,0))</f>
        <v>D9-D9</v>
      </c>
      <c r="H60" s="23">
        <f>COUNTIFS(WBS!$R$5:$R$144,$D60,WBS!$B$5:$B$144,3)</f>
        <v>2</v>
      </c>
      <c r="I60" s="23">
        <f>COUNTIFS(WBS!$R$5:$R$144,$D60,WBS!$B$5:$B$144,3,WBS!$L$5:$L$144,"Done")</f>
        <v>0</v>
      </c>
      <c r="J60" s="27">
        <f>INDEX(WBS!$M$5:$M$144,MATCH($D60,WBS!$A$5:$A$144,0))</f>
        <v>0</v>
      </c>
    </row>
    <row r="61" spans="4:10" x14ac:dyDescent="0.3">
      <c r="D61" s="26" t="s">
        <v>121</v>
      </c>
      <c r="E61" s="25" t="str">
        <f>TRIM(INDEX(WBS!$C$5:$C$144,MATCH($D61,WBS!$A$5:$A$144,0)))</f>
        <v>Test instrumentation</v>
      </c>
      <c r="F61" s="25" t="str">
        <f>INDEX(WBS!$D$5:$D$144,MATCH($D61,WBS!$A$5:$A$144,0))</f>
        <v>Live Core</v>
      </c>
      <c r="G61" s="23" t="str">
        <f>"D"&amp;INDEX(WBS!$F$5:$F$144,MATCH($D61,WBS!$A$5:$A$144,0))&amp;"-D"&amp;INDEX(WBS!$T$5:$T$144,MATCH($D61,WBS!$A$5:$A$144,0))</f>
        <v>D8-D8</v>
      </c>
      <c r="H61" s="23">
        <f>COUNTIFS(WBS!$R$5:$R$144,$D61,WBS!$B$5:$B$144,3)</f>
        <v>1</v>
      </c>
      <c r="I61" s="23">
        <f>COUNTIFS(WBS!$R$5:$R$144,$D61,WBS!$B$5:$B$144,3,WBS!$L$5:$L$144,"Done")</f>
        <v>0</v>
      </c>
      <c r="J61" s="27">
        <f>INDEX(WBS!$M$5:$M$144,MATCH($D61,WBS!$A$5:$A$144,0))</f>
        <v>0</v>
      </c>
    </row>
    <row r="62" spans="4:10" x14ac:dyDescent="0.3">
      <c r="D62" s="26" t="s">
        <v>122</v>
      </c>
      <c r="E62" s="25" t="str">
        <f>TRIM(INDEX(WBS!$C$5:$C$144,MATCH($D62,WBS!$A$5:$A$144,0)))</f>
        <v>Ops console core</v>
      </c>
      <c r="F62" s="25" t="str">
        <f>INDEX(WBS!$D$5:$D$144,MATCH($D62,WBS!$A$5:$A$144,0))</f>
        <v>Client Applications</v>
      </c>
      <c r="G62" s="23" t="str">
        <f>"D"&amp;INDEX(WBS!$F$5:$F$144,MATCH($D62,WBS!$A$5:$A$144,0))&amp;"-D"&amp;INDEX(WBS!$T$5:$T$144,MATCH($D62,WBS!$A$5:$A$144,0))</f>
        <v>D10-D10</v>
      </c>
      <c r="H62" s="23">
        <f>COUNTIFS(WBS!$R$5:$R$144,$D62,WBS!$B$5:$B$144,3)</f>
        <v>3</v>
      </c>
      <c r="I62" s="23">
        <f>COUNTIFS(WBS!$R$5:$R$144,$D62,WBS!$B$5:$B$144,3,WBS!$L$5:$L$144,"Done")</f>
        <v>0</v>
      </c>
      <c r="J62" s="27">
        <f>INDEX(WBS!$M$5:$M$144,MATCH($D62,WBS!$A$5:$A$144,0))</f>
        <v>0</v>
      </c>
    </row>
    <row r="63" spans="4:10" x14ac:dyDescent="0.3">
      <c r="D63" s="26" t="s">
        <v>123</v>
      </c>
      <c r="E63" s="25" t="str">
        <f>TRIM(INDEX(WBS!$C$5:$C$144,MATCH($D63,WBS!$A$5:$A$144,0)))</f>
        <v>Ops console operational tools</v>
      </c>
      <c r="F63" s="25" t="str">
        <f>INDEX(WBS!$D$5:$D$144,MATCH($D63,WBS!$A$5:$A$144,0))</f>
        <v>Client Applications</v>
      </c>
      <c r="G63" s="23" t="str">
        <f>"D"&amp;INDEX(WBS!$F$5:$F$144,MATCH($D63,WBS!$A$5:$A$144,0))&amp;"-D"&amp;INDEX(WBS!$T$5:$T$144,MATCH($D63,WBS!$A$5:$A$144,0))</f>
        <v>D11-D11</v>
      </c>
      <c r="H63" s="23">
        <f>COUNTIFS(WBS!$R$5:$R$144,$D63,WBS!$B$5:$B$144,3)</f>
        <v>3</v>
      </c>
      <c r="I63" s="23">
        <f>COUNTIFS(WBS!$R$5:$R$144,$D63,WBS!$B$5:$B$144,3,WBS!$L$5:$L$144,"Done")</f>
        <v>0</v>
      </c>
      <c r="J63" s="27">
        <f>INDEX(WBS!$M$5:$M$144,MATCH($D63,WBS!$A$5:$A$144,0))</f>
        <v>0</v>
      </c>
    </row>
    <row r="64" spans="4:10" x14ac:dyDescent="0.3">
      <c r="D64" s="26" t="s">
        <v>124</v>
      </c>
      <c r="E64" s="25" t="str">
        <f>TRIM(INDEX(WBS!$C$5:$C$144,MATCH($D64,WBS!$A$5:$A$144,0)))</f>
        <v>Station kiosk display</v>
      </c>
      <c r="F64" s="25" t="str">
        <f>INDEX(WBS!$D$5:$D$144,MATCH($D64,WBS!$A$5:$A$144,0))</f>
        <v>Client Applications</v>
      </c>
      <c r="G64" s="23" t="str">
        <f>"D"&amp;INDEX(WBS!$F$5:$F$144,MATCH($D64,WBS!$A$5:$A$144,0))&amp;"-D"&amp;INDEX(WBS!$T$5:$T$144,MATCH($D64,WBS!$A$5:$A$144,0))</f>
        <v>D11-D11</v>
      </c>
      <c r="H64" s="23">
        <f>COUNTIFS(WBS!$R$5:$R$144,$D64,WBS!$B$5:$B$144,3)</f>
        <v>2</v>
      </c>
      <c r="I64" s="23">
        <f>COUNTIFS(WBS!$R$5:$R$144,$D64,WBS!$B$5:$B$144,3,WBS!$L$5:$L$144,"Done")</f>
        <v>0</v>
      </c>
      <c r="J64" s="27">
        <f>INDEX(WBS!$M$5:$M$144,MATCH($D64,WBS!$A$5:$A$144,0))</f>
        <v>0</v>
      </c>
    </row>
    <row r="65" spans="4:10" x14ac:dyDescent="0.3">
      <c r="D65" s="26" t="s">
        <v>125</v>
      </c>
      <c r="E65" s="25" t="str">
        <f>TRIM(INDEX(WBS!$C$5:$C$144,MATCH($D65,WBS!$A$5:$A$144,0)))</f>
        <v>Mobile foundation</v>
      </c>
      <c r="F65" s="25" t="str">
        <f>INDEX(WBS!$D$5:$D$144,MATCH($D65,WBS!$A$5:$A$144,0))</f>
        <v>Client Applications</v>
      </c>
      <c r="G65" s="23" t="str">
        <f>"D"&amp;INDEX(WBS!$F$5:$F$144,MATCH($D65,WBS!$A$5:$A$144,0))&amp;"-D"&amp;INDEX(WBS!$T$5:$T$144,MATCH($D65,WBS!$A$5:$A$144,0))</f>
        <v>D12-D12</v>
      </c>
      <c r="H65" s="23">
        <f>COUNTIFS(WBS!$R$5:$R$144,$D65,WBS!$B$5:$B$144,3)</f>
        <v>2</v>
      </c>
      <c r="I65" s="23">
        <f>COUNTIFS(WBS!$R$5:$R$144,$D65,WBS!$B$5:$B$144,3,WBS!$L$5:$L$144,"Done")</f>
        <v>0</v>
      </c>
      <c r="J65" s="27">
        <f>INDEX(WBS!$M$5:$M$144,MATCH($D65,WBS!$A$5:$A$144,0))</f>
        <v>0</v>
      </c>
    </row>
    <row r="66" spans="4:10" x14ac:dyDescent="0.3">
      <c r="D66" s="26" t="s">
        <v>126</v>
      </c>
      <c r="E66" s="25" t="str">
        <f>TRIM(INDEX(WBS!$C$5:$C$144,MATCH($D66,WBS!$A$5:$A$144,0)))</f>
        <v>Passenger application</v>
      </c>
      <c r="F66" s="25" t="str">
        <f>INDEX(WBS!$D$5:$D$144,MATCH($D66,WBS!$A$5:$A$144,0))</f>
        <v>Client Applications</v>
      </c>
      <c r="G66" s="23" t="str">
        <f>"D"&amp;INDEX(WBS!$F$5:$F$144,MATCH($D66,WBS!$A$5:$A$144,0))&amp;"-D"&amp;INDEX(WBS!$T$5:$T$144,MATCH($D66,WBS!$A$5:$A$144,0))</f>
        <v>D12-D13</v>
      </c>
      <c r="H66" s="23">
        <f>COUNTIFS(WBS!$R$5:$R$144,$D66,WBS!$B$5:$B$144,3)</f>
        <v>4</v>
      </c>
      <c r="I66" s="23">
        <f>COUNTIFS(WBS!$R$5:$R$144,$D66,WBS!$B$5:$B$144,3,WBS!$L$5:$L$144,"Done")</f>
        <v>0</v>
      </c>
      <c r="J66" s="27">
        <f>INDEX(WBS!$M$5:$M$144,MATCH($D66,WBS!$A$5:$A$144,0))</f>
        <v>0</v>
      </c>
    </row>
    <row r="67" spans="4:10" x14ac:dyDescent="0.3">
      <c r="D67" s="26" t="s">
        <v>127</v>
      </c>
      <c r="E67" s="25" t="str">
        <f>TRIM(INDEX(WBS!$C$5:$C$144,MATCH($D67,WBS!$A$5:$A$144,0)))</f>
        <v>Driver application</v>
      </c>
      <c r="F67" s="25" t="str">
        <f>INDEX(WBS!$D$5:$D$144,MATCH($D67,WBS!$A$5:$A$144,0))</f>
        <v>Client Applications</v>
      </c>
      <c r="G67" s="23" t="str">
        <f>"D"&amp;INDEX(WBS!$F$5:$F$144,MATCH($D67,WBS!$A$5:$A$144,0))&amp;"-D"&amp;INDEX(WBS!$T$5:$T$144,MATCH($D67,WBS!$A$5:$A$144,0))</f>
        <v>D13-D13</v>
      </c>
      <c r="H67" s="23">
        <f>COUNTIFS(WBS!$R$5:$R$144,$D67,WBS!$B$5:$B$144,3)</f>
        <v>3</v>
      </c>
      <c r="I67" s="23">
        <f>COUNTIFS(WBS!$R$5:$R$144,$D67,WBS!$B$5:$B$144,3,WBS!$L$5:$L$144,"Done")</f>
        <v>0</v>
      </c>
      <c r="J67" s="27">
        <f>INDEX(WBS!$M$5:$M$144,MATCH($D67,WBS!$A$5:$A$144,0))</f>
        <v>0</v>
      </c>
    </row>
    <row r="68" spans="4:10" x14ac:dyDescent="0.3">
      <c r="D68" s="26" t="s">
        <v>128</v>
      </c>
      <c r="E68" s="25" t="str">
        <f>TRIM(INDEX(WBS!$C$5:$C$144,MATCH($D68,WBS!$A$5:$A$144,0)))</f>
        <v>RailBite external platform</v>
      </c>
      <c r="F68" s="25" t="str">
        <f>INDEX(WBS!$D$5:$D$144,MATCH($D68,WBS!$A$5:$A$144,0))</f>
        <v>External Integration</v>
      </c>
      <c r="G68" s="23" t="str">
        <f>"D"&amp;INDEX(WBS!$F$5:$F$144,MATCH($D68,WBS!$A$5:$A$144,0))&amp;"-D"&amp;INDEX(WBS!$T$5:$T$144,MATCH($D68,WBS!$A$5:$A$144,0))</f>
        <v>D14-D14</v>
      </c>
      <c r="H68" s="23">
        <f>COUNTIFS(WBS!$R$5:$R$144,$D68,WBS!$B$5:$B$144,3)</f>
        <v>1</v>
      </c>
      <c r="I68" s="23">
        <f>COUNTIFS(WBS!$R$5:$R$144,$D68,WBS!$B$5:$B$144,3,WBS!$L$5:$L$144,"Done")</f>
        <v>0</v>
      </c>
      <c r="J68" s="27">
        <f>INDEX(WBS!$M$5:$M$144,MATCH($D68,WBS!$A$5:$A$144,0))</f>
        <v>0</v>
      </c>
    </row>
    <row r="69" spans="4:10" x14ac:dyDescent="0.3">
      <c r="D69" s="26" t="s">
        <v>129</v>
      </c>
      <c r="E69" s="25" t="str">
        <f>TRIM(INDEX(WBS!$C$5:$C$144,MATCH($D69,WBS!$A$5:$A$144,0)))</f>
        <v>Integration contract</v>
      </c>
      <c r="F69" s="25" t="str">
        <f>INDEX(WBS!$D$5:$D$144,MATCH($D69,WBS!$A$5:$A$144,0))</f>
        <v>External Integration</v>
      </c>
      <c r="G69" s="23" t="str">
        <f>"D"&amp;INDEX(WBS!$F$5:$F$144,MATCH($D69,WBS!$A$5:$A$144,0))&amp;"-D"&amp;INDEX(WBS!$T$5:$T$144,MATCH($D69,WBS!$A$5:$A$144,0))</f>
        <v>D14-D14</v>
      </c>
      <c r="H69" s="23">
        <f>COUNTIFS(WBS!$R$5:$R$144,$D69,WBS!$B$5:$B$144,3)</f>
        <v>3</v>
      </c>
      <c r="I69" s="23">
        <f>COUNTIFS(WBS!$R$5:$R$144,$D69,WBS!$B$5:$B$144,3,WBS!$L$5:$L$144,"Done")</f>
        <v>0</v>
      </c>
      <c r="J69" s="27">
        <f>INDEX(WBS!$M$5:$M$144,MATCH($D69,WBS!$A$5:$A$144,0))</f>
        <v>0</v>
      </c>
    </row>
    <row r="70" spans="4:10" x14ac:dyDescent="0.3">
      <c r="D70" s="26" t="s">
        <v>130</v>
      </c>
      <c r="E70" s="25" t="str">
        <f>TRIM(INDEX(WBS!$C$5:$C$144,MATCH($D70,WBS!$A$5:$A$144,0)))</f>
        <v>Passenger ordering</v>
      </c>
      <c r="F70" s="25" t="str">
        <f>INDEX(WBS!$D$5:$D$144,MATCH($D70,WBS!$A$5:$A$144,0))</f>
        <v>External Integration</v>
      </c>
      <c r="G70" s="23" t="str">
        <f>"D"&amp;INDEX(WBS!$F$5:$F$144,MATCH($D70,WBS!$A$5:$A$144,0))&amp;"-D"&amp;INDEX(WBS!$T$5:$T$144,MATCH($D70,WBS!$A$5:$A$144,0))</f>
        <v>D14-D14</v>
      </c>
      <c r="H70" s="23">
        <f>COUNTIFS(WBS!$R$5:$R$144,$D70,WBS!$B$5:$B$144,3)</f>
        <v>1</v>
      </c>
      <c r="I70" s="23">
        <f>COUNTIFS(WBS!$R$5:$R$144,$D70,WBS!$B$5:$B$144,3,WBS!$L$5:$L$144,"Done")</f>
        <v>0</v>
      </c>
      <c r="J70" s="27">
        <f>INDEX(WBS!$M$5:$M$144,MATCH($D70,WBS!$A$5:$A$144,0))</f>
        <v>0</v>
      </c>
    </row>
    <row r="71" spans="4:10" x14ac:dyDescent="0.3">
      <c r="D71" s="26" t="s">
        <v>131</v>
      </c>
      <c r="E71" s="25" t="str">
        <f>TRIM(INDEX(WBS!$C$5:$C$144,MATCH($D71,WBS!$A$5:$A$144,0)))</f>
        <v>Completeness</v>
      </c>
      <c r="F71" s="25" t="str">
        <f>INDEX(WBS!$D$5:$D$144,MATCH($D71,WBS!$A$5:$A$144,0))</f>
        <v>Harden and Prove</v>
      </c>
      <c r="G71" s="23" t="str">
        <f>"D"&amp;INDEX(WBS!$F$5:$F$144,MATCH($D71,WBS!$A$5:$A$144,0))&amp;"-D"&amp;INDEX(WBS!$T$5:$T$144,MATCH($D71,WBS!$A$5:$A$144,0))</f>
        <v>D15-D15</v>
      </c>
      <c r="H71" s="23">
        <f>COUNTIFS(WBS!$R$5:$R$144,$D71,WBS!$B$5:$B$144,3)</f>
        <v>4</v>
      </c>
      <c r="I71" s="23">
        <f>COUNTIFS(WBS!$R$5:$R$144,$D71,WBS!$B$5:$B$144,3,WBS!$L$5:$L$144,"Done")</f>
        <v>0</v>
      </c>
      <c r="J71" s="27">
        <f>INDEX(WBS!$M$5:$M$144,MATCH($D71,WBS!$A$5:$A$144,0))</f>
        <v>0</v>
      </c>
    </row>
    <row r="72" spans="4:10" x14ac:dyDescent="0.3">
      <c r="D72" s="26" t="s">
        <v>132</v>
      </c>
      <c r="E72" s="25" t="str">
        <f>TRIM(INDEX(WBS!$C$5:$C$144,MATCH($D72,WBS!$A$5:$A$144,0)))</f>
        <v>Test automation</v>
      </c>
      <c r="F72" s="25" t="str">
        <f>INDEX(WBS!$D$5:$D$144,MATCH($D72,WBS!$A$5:$A$144,0))</f>
        <v>Harden and Prove</v>
      </c>
      <c r="G72" s="23" t="str">
        <f>"D"&amp;INDEX(WBS!$F$5:$F$144,MATCH($D72,WBS!$A$5:$A$144,0))&amp;"-D"&amp;INDEX(WBS!$T$5:$T$144,MATCH($D72,WBS!$A$5:$A$144,0))</f>
        <v>D16-D16</v>
      </c>
      <c r="H72" s="23">
        <f>COUNTIFS(WBS!$R$5:$R$144,$D72,WBS!$B$5:$B$144,3)</f>
        <v>6</v>
      </c>
      <c r="I72" s="23">
        <f>COUNTIFS(WBS!$R$5:$R$144,$D72,WBS!$B$5:$B$144,3,WBS!$L$5:$L$144,"Done")</f>
        <v>0</v>
      </c>
      <c r="J72" s="27">
        <f>INDEX(WBS!$M$5:$M$144,MATCH($D72,WBS!$A$5:$A$144,0))</f>
        <v>0</v>
      </c>
    </row>
    <row r="73" spans="4:10" x14ac:dyDescent="0.3">
      <c r="D73" s="26" t="s">
        <v>133</v>
      </c>
      <c r="E73" s="25" t="str">
        <f>TRIM(INDEX(WBS!$C$5:$C$144,MATCH($D73,WBS!$A$5:$A$144,0)))</f>
        <v>Security testing</v>
      </c>
      <c r="F73" s="25" t="str">
        <f>INDEX(WBS!$D$5:$D$144,MATCH($D73,WBS!$A$5:$A$144,0))</f>
        <v>Harden and Prove</v>
      </c>
      <c r="G73" s="23" t="str">
        <f>"D"&amp;INDEX(WBS!$F$5:$F$144,MATCH($D73,WBS!$A$5:$A$144,0))&amp;"-D"&amp;INDEX(WBS!$T$5:$T$144,MATCH($D73,WBS!$A$5:$A$144,0))</f>
        <v>D17-D17</v>
      </c>
      <c r="H73" s="23">
        <f>COUNTIFS(WBS!$R$5:$R$144,$D73,WBS!$B$5:$B$144,3)</f>
        <v>4</v>
      </c>
      <c r="I73" s="23">
        <f>COUNTIFS(WBS!$R$5:$R$144,$D73,WBS!$B$5:$B$144,3,WBS!$L$5:$L$144,"Done")</f>
        <v>0</v>
      </c>
      <c r="J73" s="27">
        <f>INDEX(WBS!$M$5:$M$144,MATCH($D73,WBS!$A$5:$A$144,0))</f>
        <v>0</v>
      </c>
    </row>
    <row r="74" spans="4:10" x14ac:dyDescent="0.3">
      <c r="D74" s="26" t="s">
        <v>134</v>
      </c>
      <c r="E74" s="25" t="str">
        <f>TRIM(INDEX(WBS!$C$5:$C$144,MATCH($D74,WBS!$A$5:$A$144,0)))</f>
        <v>Accessibility</v>
      </c>
      <c r="F74" s="25" t="str">
        <f>INDEX(WBS!$D$5:$D$144,MATCH($D74,WBS!$A$5:$A$144,0))</f>
        <v>Harden and Prove</v>
      </c>
      <c r="G74" s="23" t="str">
        <f>"D"&amp;INDEX(WBS!$F$5:$F$144,MATCH($D74,WBS!$A$5:$A$144,0))&amp;"-D"&amp;INDEX(WBS!$T$5:$T$144,MATCH($D74,WBS!$A$5:$A$144,0))</f>
        <v>D18-D18</v>
      </c>
      <c r="H74" s="23">
        <f>COUNTIFS(WBS!$R$5:$R$144,$D74,WBS!$B$5:$B$144,3)</f>
        <v>2</v>
      </c>
      <c r="I74" s="23">
        <f>COUNTIFS(WBS!$R$5:$R$144,$D74,WBS!$B$5:$B$144,3,WBS!$L$5:$L$144,"Done")</f>
        <v>0</v>
      </c>
      <c r="J74" s="27">
        <f>INDEX(WBS!$M$5:$M$144,MATCH($D74,WBS!$A$5:$A$144,0))</f>
        <v>0</v>
      </c>
    </row>
    <row r="75" spans="4:10" x14ac:dyDescent="0.3">
      <c r="D75" s="26" t="s">
        <v>135</v>
      </c>
      <c r="E75" s="25" t="str">
        <f>TRIM(INDEX(WBS!$C$5:$C$144,MATCH($D75,WBS!$A$5:$A$144,0)))</f>
        <v>Observability</v>
      </c>
      <c r="F75" s="25" t="str">
        <f>INDEX(WBS!$D$5:$D$144,MATCH($D75,WBS!$A$5:$A$144,0))</f>
        <v>Harden and Prove</v>
      </c>
      <c r="G75" s="23" t="str">
        <f>"D"&amp;INDEX(WBS!$F$5:$F$144,MATCH($D75,WBS!$A$5:$A$144,0))&amp;"-D"&amp;INDEX(WBS!$T$5:$T$144,MATCH($D75,WBS!$A$5:$A$144,0))</f>
        <v>D18-D18</v>
      </c>
      <c r="H75" s="23">
        <f>COUNTIFS(WBS!$R$5:$R$144,$D75,WBS!$B$5:$B$144,3)</f>
        <v>2</v>
      </c>
      <c r="I75" s="23">
        <f>COUNTIFS(WBS!$R$5:$R$144,$D75,WBS!$B$5:$B$144,3,WBS!$L$5:$L$144,"Done")</f>
        <v>0</v>
      </c>
      <c r="J75" s="27">
        <f>INDEX(WBS!$M$5:$M$144,MATCH($D75,WBS!$A$5:$A$144,0))</f>
        <v>0</v>
      </c>
    </row>
    <row r="76" spans="4:10" x14ac:dyDescent="0.3">
      <c r="D76" s="26" t="s">
        <v>136</v>
      </c>
      <c r="E76" s="25" t="str">
        <f>TRIM(INDEX(WBS!$C$5:$C$144,MATCH($D76,WBS!$A$5:$A$144,0)))</f>
        <v>Documentation consolidation</v>
      </c>
      <c r="F76" s="25" t="str">
        <f>INDEX(WBS!$D$5:$D$144,MATCH($D76,WBS!$A$5:$A$144,0))</f>
        <v>Evidence and Demo</v>
      </c>
      <c r="G76" s="23" t="str">
        <f>"D"&amp;INDEX(WBS!$F$5:$F$144,MATCH($D76,WBS!$A$5:$A$144,0))&amp;"-D"&amp;INDEX(WBS!$T$5:$T$144,MATCH($D76,WBS!$A$5:$A$144,0))</f>
        <v>D19-D19</v>
      </c>
      <c r="H76" s="23">
        <f>COUNTIFS(WBS!$R$5:$R$144,$D76,WBS!$B$5:$B$144,3)</f>
        <v>4</v>
      </c>
      <c r="I76" s="23">
        <f>COUNTIFS(WBS!$R$5:$R$144,$D76,WBS!$B$5:$B$144,3,WBS!$L$5:$L$144,"Done")</f>
        <v>0</v>
      </c>
      <c r="J76" s="27">
        <f>INDEX(WBS!$M$5:$M$144,MATCH($D76,WBS!$A$5:$A$144,0))</f>
        <v>0</v>
      </c>
    </row>
    <row r="77" spans="4:10" x14ac:dyDescent="0.3">
      <c r="D77" s="26" t="s">
        <v>137</v>
      </c>
      <c r="E77" s="25" t="str">
        <f>TRIM(INDEX(WBS!$C$5:$C$144,MATCH($D77,WBS!$A$5:$A$144,0)))</f>
        <v>AI usage pack</v>
      </c>
      <c r="F77" s="25" t="str">
        <f>INDEX(WBS!$D$5:$D$144,MATCH($D77,WBS!$A$5:$A$144,0))</f>
        <v>Evidence and Demo</v>
      </c>
      <c r="G77" s="23" t="str">
        <f>"D"&amp;INDEX(WBS!$F$5:$F$144,MATCH($D77,WBS!$A$5:$A$144,0))&amp;"-D"&amp;INDEX(WBS!$T$5:$T$144,MATCH($D77,WBS!$A$5:$A$144,0))</f>
        <v>D19-D19</v>
      </c>
      <c r="H77" s="23">
        <f>COUNTIFS(WBS!$R$5:$R$144,$D77,WBS!$B$5:$B$144,3)</f>
        <v>1</v>
      </c>
      <c r="I77" s="23">
        <f>COUNTIFS(WBS!$R$5:$R$144,$D77,WBS!$B$5:$B$144,3,WBS!$L$5:$L$144,"Done")</f>
        <v>0</v>
      </c>
      <c r="J77" s="27">
        <f>INDEX(WBS!$M$5:$M$144,MATCH($D77,WBS!$A$5:$A$144,0))</f>
        <v>0</v>
      </c>
    </row>
    <row r="78" spans="4:10" x14ac:dyDescent="0.3">
      <c r="D78" s="26" t="s">
        <v>138</v>
      </c>
      <c r="E78" s="25" t="str">
        <f>TRIM(INDEX(WBS!$C$5:$C$144,MATCH($D78,WBS!$A$5:$A$144,0)))</f>
        <v>Demonstration</v>
      </c>
      <c r="F78" s="25" t="str">
        <f>INDEX(WBS!$D$5:$D$144,MATCH($D78,WBS!$A$5:$A$144,0))</f>
        <v>Evidence and Demo</v>
      </c>
      <c r="G78" s="23" t="str">
        <f>"D"&amp;INDEX(WBS!$F$5:$F$144,MATCH($D78,WBS!$A$5:$A$144,0))&amp;"-D"&amp;INDEX(WBS!$T$5:$T$144,MATCH($D78,WBS!$A$5:$A$144,0))</f>
        <v>D20-D20</v>
      </c>
      <c r="H78" s="23">
        <f>COUNTIFS(WBS!$R$5:$R$144,$D78,WBS!$B$5:$B$144,3)</f>
        <v>4</v>
      </c>
      <c r="I78" s="23">
        <f>COUNTIFS(WBS!$R$5:$R$144,$D78,WBS!$B$5:$B$144,3,WBS!$L$5:$L$144,"Done")</f>
        <v>0</v>
      </c>
      <c r="J78" s="27">
        <f>INDEX(WBS!$M$5:$M$144,MATCH($D78,WBS!$A$5:$A$144,0))</f>
        <v>0</v>
      </c>
    </row>
    <row r="79" spans="4:10" x14ac:dyDescent="0.3">
      <c r="D79" s="26" t="s">
        <v>139</v>
      </c>
      <c r="E79" s="25" t="str">
        <f>TRIM(INDEX(WBS!$C$5:$C$144,MATCH($D79,WBS!$A$5:$A$144,0)))</f>
        <v>Closeout</v>
      </c>
      <c r="F79" s="25" t="str">
        <f>INDEX(WBS!$D$5:$D$144,MATCH($D79,WBS!$A$5:$A$144,0))</f>
        <v>Evidence and Demo</v>
      </c>
      <c r="G79" s="23" t="str">
        <f>"D"&amp;INDEX(WBS!$F$5:$F$144,MATCH($D79,WBS!$A$5:$A$144,0))&amp;"-D"&amp;INDEX(WBS!$T$5:$T$144,MATCH($D79,WBS!$A$5:$A$144,0))</f>
        <v>D21-D21</v>
      </c>
      <c r="H79" s="23">
        <f>COUNTIFS(WBS!$R$5:$R$144,$D79,WBS!$B$5:$B$144,3)</f>
        <v>3</v>
      </c>
      <c r="I79" s="23">
        <f>COUNTIFS(WBS!$R$5:$R$144,$D79,WBS!$B$5:$B$144,3,WBS!$L$5:$L$144,"Done")</f>
        <v>0</v>
      </c>
      <c r="J79" s="27">
        <f>INDEX(WBS!$M$5:$M$144,MATCH($D79,WBS!$A$5:$A$144,0))</f>
        <v>0</v>
      </c>
    </row>
  </sheetData>
  <conditionalFormatting sqref="B13">
    <cfRule type="cellIs" dxfId="29" priority="2" operator="greaterThan">
      <formula>0</formula>
    </cfRule>
  </conditionalFormatting>
  <conditionalFormatting sqref="B17">
    <cfRule type="cellIs" dxfId="28" priority="1" operator="greaterThan">
      <formula>0</formula>
    </cfRule>
  </conditionalFormatting>
  <conditionalFormatting sqref="I11:I18">
    <cfRule type="cellIs" dxfId="27" priority="3" operator="equal">
      <formula>1</formula>
    </cfRule>
  </conditionalFormatting>
  <conditionalFormatting sqref="I23:I28">
    <cfRule type="cellIs" dxfId="26" priority="4" operator="equal">
      <formula>"MISSED"</formula>
    </cfRule>
    <cfRule type="cellIs" dxfId="25" priority="5" operator="equal">
      <formula>"Cleared"</formula>
    </cfRule>
  </conditionalFormatting>
  <conditionalFormatting sqref="I33:I39">
    <cfRule type="expression" dxfId="24" priority="7">
      <formula>LEFT($I33,7)="Covered"</formula>
    </cfRule>
    <cfRule type="expression" dxfId="23" priority="8">
      <formula>LEFT($I33,4)="Need"</formula>
    </cfRule>
  </conditionalFormatting>
  <conditionalFormatting sqref="J44:J79">
    <cfRule type="cellIs" dxfId="22" priority="9" operator="equal">
      <formula>1</formula>
    </cfRule>
    <cfRule type="cellIs" dxfId="21" priority="10" operator="between">
      <formula>0.0001</formula>
      <formula>0.9999</formula>
    </cfRule>
  </conditionalFormatting>
  <conditionalFormatting sqref="N4:AH4">
    <cfRule type="cellIs" dxfId="20" priority="6" operator="greaterThan">
      <formula>9</formula>
    </cfRule>
  </conditionalFormatting>
  <pageMargins left="0.75" right="0.75" top="1" bottom="1" header="0.5" footer="0.5"/>
  <headerFooter>
    <oddHeader>&amp;R&amp;"Aptos"&amp;10&amp;K000000 Classification: Confidential&amp;1#_x000D_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Y144"/>
  <sheetViews>
    <sheetView workbookViewId="0">
      <pane xSplit="3" ySplit="4" topLeftCell="D5" activePane="bottomRight" state="frozen"/>
      <selection pane="topRight"/>
      <selection pane="bottomLeft"/>
      <selection pane="bottomRight"/>
    </sheetView>
  </sheetViews>
  <sheetFormatPr defaultRowHeight="14.4" x14ac:dyDescent="0.3"/>
  <cols>
    <col min="1" max="1" width="9" customWidth="1"/>
    <col min="2" max="2" width="4" customWidth="1"/>
    <col min="3" max="3" width="62" customWidth="1"/>
    <col min="4" max="4" width="20" customWidth="1"/>
    <col min="5" max="6" width="6" customWidth="1"/>
    <col min="7" max="8" width="11" customWidth="1"/>
    <col min="9" max="9" width="5" customWidth="1"/>
    <col min="10" max="11" width="7" customWidth="1"/>
    <col min="12" max="12" width="11" customWidth="1"/>
    <col min="13" max="13" width="8" customWidth="1"/>
    <col min="14" max="14" width="6" customWidth="1"/>
    <col min="15" max="15" width="20" customWidth="1"/>
    <col min="16" max="16" width="54" customWidth="1"/>
    <col min="17" max="17" width="34" customWidth="1"/>
    <col min="18" max="18" width="9" hidden="1" customWidth="1"/>
    <col min="19" max="19" width="7" hidden="1" customWidth="1"/>
    <col min="20" max="23" width="8" hidden="1" customWidth="1"/>
    <col min="24" max="24" width="9" hidden="1" customWidth="1"/>
    <col min="25" max="25" width="8" hidden="1" customWidth="1"/>
  </cols>
  <sheetData>
    <row r="1" spans="1:25" ht="17.399999999999999" x14ac:dyDescent="0.3">
      <c r="A1" s="1" t="s">
        <v>140</v>
      </c>
    </row>
    <row r="2" spans="1:25" x14ac:dyDescent="0.3">
      <c r="A2" s="2" t="s">
        <v>141</v>
      </c>
    </row>
    <row r="4" spans="1:25" ht="30" customHeight="1" x14ac:dyDescent="0.3">
      <c r="A4" s="28" t="s">
        <v>101</v>
      </c>
      <c r="B4" s="28" t="s">
        <v>142</v>
      </c>
      <c r="C4" s="28" t="s">
        <v>143</v>
      </c>
      <c r="D4" s="28" t="s">
        <v>34</v>
      </c>
      <c r="E4" s="28" t="s">
        <v>144</v>
      </c>
      <c r="F4" s="28" t="s">
        <v>60</v>
      </c>
      <c r="G4" s="28" t="s">
        <v>145</v>
      </c>
      <c r="H4" s="28" t="s">
        <v>146</v>
      </c>
      <c r="I4" s="28" t="s">
        <v>147</v>
      </c>
      <c r="J4" s="28" t="s">
        <v>36</v>
      </c>
      <c r="K4" s="28" t="s">
        <v>148</v>
      </c>
      <c r="L4" s="28" t="s">
        <v>63</v>
      </c>
      <c r="M4" s="28" t="s">
        <v>38</v>
      </c>
      <c r="N4" s="28" t="s">
        <v>58</v>
      </c>
      <c r="O4" s="28" t="s">
        <v>149</v>
      </c>
      <c r="P4" s="28" t="s">
        <v>150</v>
      </c>
      <c r="Q4" s="28" t="s">
        <v>151</v>
      </c>
      <c r="R4" s="28" t="s">
        <v>152</v>
      </c>
      <c r="S4" s="28" t="s">
        <v>153</v>
      </c>
      <c r="T4" s="28" t="s">
        <v>154</v>
      </c>
      <c r="U4" s="28" t="s">
        <v>155</v>
      </c>
      <c r="V4" s="28" t="s">
        <v>156</v>
      </c>
      <c r="W4" s="28" t="s">
        <v>157</v>
      </c>
      <c r="X4" s="28" t="s">
        <v>158</v>
      </c>
      <c r="Y4" s="28" t="s">
        <v>159</v>
      </c>
    </row>
    <row r="5" spans="1:25" x14ac:dyDescent="0.3">
      <c r="A5" s="29" t="s">
        <v>40</v>
      </c>
      <c r="B5" s="30">
        <v>1</v>
      </c>
      <c r="C5" s="31" t="s">
        <v>160</v>
      </c>
      <c r="D5" s="32" t="s">
        <v>160</v>
      </c>
      <c r="E5" s="30"/>
      <c r="F5" s="30">
        <f>IFERROR(_xlfn.MINIFS($X$5:$X$144,$S$5:$S$144,$A5,$B$5:$B$144,3),"")</f>
        <v>1</v>
      </c>
      <c r="G5" s="33">
        <f>IF($F5="","",Dashboard!$B$3+$F5-1)</f>
        <v>46294</v>
      </c>
      <c r="H5" s="33">
        <f>IF($T5="","",Dashboard!$B$3+$T5-1)</f>
        <v>46296</v>
      </c>
      <c r="I5" s="30">
        <f>IFERROR($T5-$F5+1,"")</f>
        <v>3</v>
      </c>
      <c r="J5" s="34">
        <f>SUMIFS($U$5:$U$144,$S$5:$S$144,$A5,$B$5:$B$144,3)</f>
        <v>28.5</v>
      </c>
      <c r="K5" s="34">
        <f>SUMIFS($W$5:$W$144,$S$5:$S$144,$A5,$B$5:$B$144,3)</f>
        <v>0</v>
      </c>
      <c r="L5" s="32"/>
      <c r="M5" s="35">
        <f>IFERROR(SUMIFS($V$5:$V$144,$S$5:$S$144,$A5,$B$5:$B$144,3)/SUMIFS($U$5:$U$144,$S$5:$S$144,$A5,$B$5:$B$144,3),0)</f>
        <v>0.10526315789473684</v>
      </c>
      <c r="N5" s="30"/>
      <c r="O5" s="32"/>
      <c r="P5" s="31"/>
      <c r="Q5" s="31"/>
      <c r="R5" s="29"/>
      <c r="S5" s="29"/>
      <c r="T5" s="30">
        <f>IFERROR(_xlfn.MAXIFS($Y$5:$Y$144,$S$5:$S$144,$A5,$B$5:$B$144,3),"")</f>
        <v>3</v>
      </c>
      <c r="U5" s="32"/>
      <c r="V5" s="32"/>
      <c r="W5" s="32"/>
      <c r="X5" s="32"/>
      <c r="Y5" s="32"/>
    </row>
    <row r="6" spans="1:25" x14ac:dyDescent="0.3">
      <c r="A6" s="36" t="s">
        <v>104</v>
      </c>
      <c r="B6" s="37">
        <v>2</v>
      </c>
      <c r="C6" s="38" t="s">
        <v>161</v>
      </c>
      <c r="D6" s="39" t="s">
        <v>160</v>
      </c>
      <c r="E6" s="37"/>
      <c r="F6" s="37">
        <f>IFERROR(_xlfn.MINIFS($X$5:$X$144,$R$5:$R$144,$A6,$B$5:$B$144,3),"")</f>
        <v>1</v>
      </c>
      <c r="G6" s="40">
        <f>IF($F6="","",Dashboard!$B$3+$F6-1)</f>
        <v>46294</v>
      </c>
      <c r="H6" s="40">
        <f>IF($T6="","",Dashboard!$B$3+$T6-1)</f>
        <v>46295</v>
      </c>
      <c r="I6" s="37">
        <f>IFERROR($T6-$F6+1,"")</f>
        <v>2</v>
      </c>
      <c r="J6" s="41">
        <f>SUMIFS($U$5:$U$144,$R$5:$R$144,$A6,$B$5:$B$144,3)</f>
        <v>6</v>
      </c>
      <c r="K6" s="41">
        <f>SUMIFS($W$5:$W$144,$R$5:$R$144,$A6,$B$5:$B$144,3)</f>
        <v>0</v>
      </c>
      <c r="L6" s="39"/>
      <c r="M6" s="42">
        <f>IFERROR(SUMIFS($V$5:$V$144,$R$5:$R$144,$A6,$B$5:$B$144,3)/SUMIFS($U$5:$U$144,$R$5:$R$144,$A6,$B$5:$B$144,3),0)</f>
        <v>0</v>
      </c>
      <c r="N6" s="37"/>
      <c r="O6" s="39"/>
      <c r="P6" s="38"/>
      <c r="Q6" s="38"/>
      <c r="R6" s="36" t="s">
        <v>40</v>
      </c>
      <c r="S6" s="36" t="s">
        <v>40</v>
      </c>
      <c r="T6" s="37">
        <f>IFERROR(_xlfn.MAXIFS($Y$5:$Y$144,$R$5:$R$144,$A6,$B$5:$B$144,3),"")</f>
        <v>2</v>
      </c>
      <c r="U6" s="39"/>
      <c r="V6" s="39"/>
      <c r="W6" s="39"/>
      <c r="X6" s="39"/>
      <c r="Y6" s="39"/>
    </row>
    <row r="7" spans="1:25" ht="26.4" x14ac:dyDescent="0.3">
      <c r="A7" s="43" t="s">
        <v>162</v>
      </c>
      <c r="B7" s="44">
        <v>3</v>
      </c>
      <c r="C7" s="45" t="s">
        <v>163</v>
      </c>
      <c r="D7" s="46" t="s">
        <v>160</v>
      </c>
      <c r="E7" s="44" t="s">
        <v>164</v>
      </c>
      <c r="F7" s="44">
        <v>1</v>
      </c>
      <c r="G7" s="47">
        <f>IF($F7="","",Dashboard!$B$3+$F7-1)</f>
        <v>46294</v>
      </c>
      <c r="H7" s="47">
        <f>IF($T7="","",Dashboard!$B$3+$T7-1)</f>
        <v>46294</v>
      </c>
      <c r="I7" s="44">
        <v>1</v>
      </c>
      <c r="J7" s="48">
        <v>3</v>
      </c>
      <c r="K7" s="48"/>
      <c r="L7" s="46" t="s">
        <v>165</v>
      </c>
      <c r="M7" s="49">
        <f>IF($L7="Done",1,IF($L7="Doing",0.5,0))</f>
        <v>0</v>
      </c>
      <c r="N7" s="44"/>
      <c r="O7" s="46" t="s">
        <v>166</v>
      </c>
      <c r="P7" s="45" t="s">
        <v>167</v>
      </c>
      <c r="Q7" s="45"/>
      <c r="R7" s="43" t="s">
        <v>104</v>
      </c>
      <c r="S7" s="43" t="s">
        <v>40</v>
      </c>
      <c r="T7" s="44">
        <f>$F7+$I7-1</f>
        <v>1</v>
      </c>
      <c r="U7" s="46">
        <f>IF($L7="Deferred",0,$J7)</f>
        <v>3</v>
      </c>
      <c r="V7" s="46">
        <f>IF($L7="Deferred",0,$J7*$M7)</f>
        <v>0</v>
      </c>
      <c r="W7" s="46">
        <f>IF($L7="Deferred",0,N($K7))</f>
        <v>0</v>
      </c>
      <c r="X7" s="46">
        <f>$F7</f>
        <v>1</v>
      </c>
      <c r="Y7" s="46">
        <f>$T7</f>
        <v>1</v>
      </c>
    </row>
    <row r="8" spans="1:25" ht="26.4" x14ac:dyDescent="0.3">
      <c r="A8" s="43" t="s">
        <v>168</v>
      </c>
      <c r="B8" s="44">
        <v>3</v>
      </c>
      <c r="C8" s="45" t="s">
        <v>169</v>
      </c>
      <c r="D8" s="46" t="s">
        <v>160</v>
      </c>
      <c r="E8" s="44" t="s">
        <v>164</v>
      </c>
      <c r="F8" s="44">
        <v>2</v>
      </c>
      <c r="G8" s="47">
        <f>IF($F8="","",Dashboard!$B$3+$F8-1)</f>
        <v>46295</v>
      </c>
      <c r="H8" s="47">
        <f>IF($T8="","",Dashboard!$B$3+$T8-1)</f>
        <v>46295</v>
      </c>
      <c r="I8" s="44">
        <v>1</v>
      </c>
      <c r="J8" s="48">
        <v>2</v>
      </c>
      <c r="K8" s="48"/>
      <c r="L8" s="46" t="s">
        <v>165</v>
      </c>
      <c r="M8" s="49">
        <f>IF($L8="Done",1,IF($L8="Doing",0.5,0))</f>
        <v>0</v>
      </c>
      <c r="N8" s="44"/>
      <c r="O8" s="46" t="s">
        <v>170</v>
      </c>
      <c r="P8" s="45" t="s">
        <v>171</v>
      </c>
      <c r="Q8" s="45"/>
      <c r="R8" s="43" t="s">
        <v>104</v>
      </c>
      <c r="S8" s="43" t="s">
        <v>40</v>
      </c>
      <c r="T8" s="44">
        <f>$F8+$I8-1</f>
        <v>2</v>
      </c>
      <c r="U8" s="46">
        <f>IF($L8="Deferred",0,$J8)</f>
        <v>2</v>
      </c>
      <c r="V8" s="46">
        <f>IF($L8="Deferred",0,$J8*$M8)</f>
        <v>0</v>
      </c>
      <c r="W8" s="46">
        <f>IF($L8="Deferred",0,N($K8))</f>
        <v>0</v>
      </c>
      <c r="X8" s="46">
        <f>$F8</f>
        <v>2</v>
      </c>
      <c r="Y8" s="46">
        <f>$T8</f>
        <v>2</v>
      </c>
    </row>
    <row r="9" spans="1:25" x14ac:dyDescent="0.3">
      <c r="A9" s="43" t="s">
        <v>172</v>
      </c>
      <c r="B9" s="44">
        <v>3</v>
      </c>
      <c r="C9" s="45" t="s">
        <v>173</v>
      </c>
      <c r="D9" s="46" t="s">
        <v>160</v>
      </c>
      <c r="E9" s="44" t="s">
        <v>164</v>
      </c>
      <c r="F9" s="44">
        <v>2</v>
      </c>
      <c r="G9" s="47">
        <f>IF($F9="","",Dashboard!$B$3+$F9-1)</f>
        <v>46295</v>
      </c>
      <c r="H9" s="47">
        <f>IF($T9="","",Dashboard!$B$3+$T9-1)</f>
        <v>46295</v>
      </c>
      <c r="I9" s="44">
        <v>1</v>
      </c>
      <c r="J9" s="48">
        <v>1</v>
      </c>
      <c r="K9" s="48"/>
      <c r="L9" s="46" t="s">
        <v>165</v>
      </c>
      <c r="M9" s="49">
        <f>IF($L9="Done",1,IF($L9="Doing",0.5,0))</f>
        <v>0</v>
      </c>
      <c r="N9" s="44"/>
      <c r="O9" s="46"/>
      <c r="P9" s="45" t="s">
        <v>174</v>
      </c>
      <c r="Q9" s="45"/>
      <c r="R9" s="43" t="s">
        <v>104</v>
      </c>
      <c r="S9" s="43" t="s">
        <v>40</v>
      </c>
      <c r="T9" s="44">
        <f>$F9+$I9-1</f>
        <v>2</v>
      </c>
      <c r="U9" s="46">
        <f>IF($L9="Deferred",0,$J9)</f>
        <v>1</v>
      </c>
      <c r="V9" s="46">
        <f>IF($L9="Deferred",0,$J9*$M9)</f>
        <v>0</v>
      </c>
      <c r="W9" s="46">
        <f>IF($L9="Deferred",0,N($K9))</f>
        <v>0</v>
      </c>
      <c r="X9" s="46">
        <f>$F9</f>
        <v>2</v>
      </c>
      <c r="Y9" s="46">
        <f>$T9</f>
        <v>2</v>
      </c>
    </row>
    <row r="10" spans="1:25" x14ac:dyDescent="0.3">
      <c r="A10" s="36" t="s">
        <v>105</v>
      </c>
      <c r="B10" s="37">
        <v>2</v>
      </c>
      <c r="C10" s="38" t="s">
        <v>175</v>
      </c>
      <c r="D10" s="39" t="s">
        <v>160</v>
      </c>
      <c r="E10" s="37"/>
      <c r="F10" s="37">
        <f>IFERROR(_xlfn.MINIFS($X$5:$X$144,$R$5:$R$144,$A10,$B$5:$B$144,3),"")</f>
        <v>1</v>
      </c>
      <c r="G10" s="40">
        <f>IF($F10="","",Dashboard!$B$3+$F10-1)</f>
        <v>46294</v>
      </c>
      <c r="H10" s="40">
        <f>IF($T10="","",Dashboard!$B$3+$T10-1)</f>
        <v>46296</v>
      </c>
      <c r="I10" s="37">
        <f>IFERROR($T10-$F10+1,"")</f>
        <v>3</v>
      </c>
      <c r="J10" s="41">
        <f>SUMIFS($U$5:$U$144,$R$5:$R$144,$A10,$B$5:$B$144,3)</f>
        <v>10</v>
      </c>
      <c r="K10" s="41">
        <f>SUMIFS($W$5:$W$144,$R$5:$R$144,$A10,$B$5:$B$144,3)</f>
        <v>0</v>
      </c>
      <c r="L10" s="39"/>
      <c r="M10" s="42">
        <f>IFERROR(SUMIFS($V$5:$V$144,$R$5:$R$144,$A10,$B$5:$B$144,3)/SUMIFS($U$5:$U$144,$R$5:$R$144,$A10,$B$5:$B$144,3),0)</f>
        <v>0</v>
      </c>
      <c r="N10" s="37"/>
      <c r="O10" s="39"/>
      <c r="P10" s="38"/>
      <c r="Q10" s="38"/>
      <c r="R10" s="36" t="s">
        <v>40</v>
      </c>
      <c r="S10" s="36" t="s">
        <v>40</v>
      </c>
      <c r="T10" s="37">
        <f>IFERROR(_xlfn.MAXIFS($Y$5:$Y$144,$R$5:$R$144,$A10,$B$5:$B$144,3),"")</f>
        <v>3</v>
      </c>
      <c r="U10" s="39"/>
      <c r="V10" s="39"/>
      <c r="W10" s="39"/>
      <c r="X10" s="39"/>
      <c r="Y10" s="39"/>
    </row>
    <row r="11" spans="1:25" ht="26.4" x14ac:dyDescent="0.3">
      <c r="A11" s="43" t="s">
        <v>176</v>
      </c>
      <c r="B11" s="44">
        <v>3</v>
      </c>
      <c r="C11" s="45" t="s">
        <v>177</v>
      </c>
      <c r="D11" s="46" t="s">
        <v>160</v>
      </c>
      <c r="E11" s="44" t="s">
        <v>164</v>
      </c>
      <c r="F11" s="44">
        <v>1</v>
      </c>
      <c r="G11" s="47">
        <f>IF($F11="","",Dashboard!$B$3+$F11-1)</f>
        <v>46294</v>
      </c>
      <c r="H11" s="47">
        <f>IF($T11="","",Dashboard!$B$3+$T11-1)</f>
        <v>46294</v>
      </c>
      <c r="I11" s="44">
        <v>1</v>
      </c>
      <c r="J11" s="48">
        <v>3</v>
      </c>
      <c r="K11" s="48"/>
      <c r="L11" s="46" t="s">
        <v>165</v>
      </c>
      <c r="M11" s="49">
        <f>IF($L11="Done",1,IF($L11="Doing",0.5,0))</f>
        <v>0</v>
      </c>
      <c r="N11" s="44"/>
      <c r="O11" s="46"/>
      <c r="P11" s="45" t="s">
        <v>178</v>
      </c>
      <c r="Q11" s="45"/>
      <c r="R11" s="43" t="s">
        <v>105</v>
      </c>
      <c r="S11" s="43" t="s">
        <v>40</v>
      </c>
      <c r="T11" s="44">
        <f>$F11+$I11-1</f>
        <v>1</v>
      </c>
      <c r="U11" s="46">
        <f>IF($L11="Deferred",0,$J11)</f>
        <v>3</v>
      </c>
      <c r="V11" s="46">
        <f>IF($L11="Deferred",0,$J11*$M11)</f>
        <v>0</v>
      </c>
      <c r="W11" s="46">
        <f>IF($L11="Deferred",0,N($K11))</f>
        <v>0</v>
      </c>
      <c r="X11" s="46">
        <f>$F11</f>
        <v>1</v>
      </c>
      <c r="Y11" s="46">
        <f>$T11</f>
        <v>1</v>
      </c>
    </row>
    <row r="12" spans="1:25" ht="26.4" x14ac:dyDescent="0.3">
      <c r="A12" s="43" t="s">
        <v>179</v>
      </c>
      <c r="B12" s="44">
        <v>3</v>
      </c>
      <c r="C12" s="45" t="s">
        <v>180</v>
      </c>
      <c r="D12" s="46" t="s">
        <v>160</v>
      </c>
      <c r="E12" s="44" t="s">
        <v>164</v>
      </c>
      <c r="F12" s="44">
        <v>2</v>
      </c>
      <c r="G12" s="47">
        <f>IF($F12="","",Dashboard!$B$3+$F12-1)</f>
        <v>46295</v>
      </c>
      <c r="H12" s="47">
        <f>IF($T12="","",Dashboard!$B$3+$T12-1)</f>
        <v>46295</v>
      </c>
      <c r="I12" s="44">
        <v>1</v>
      </c>
      <c r="J12" s="48">
        <v>3</v>
      </c>
      <c r="K12" s="48"/>
      <c r="L12" s="46" t="s">
        <v>165</v>
      </c>
      <c r="M12" s="49">
        <f>IF($L12="Done",1,IF($L12="Doing",0.5,0))</f>
        <v>0</v>
      </c>
      <c r="N12" s="44"/>
      <c r="O12" s="46"/>
      <c r="P12" s="45" t="s">
        <v>178</v>
      </c>
      <c r="Q12" s="45"/>
      <c r="R12" s="43" t="s">
        <v>105</v>
      </c>
      <c r="S12" s="43" t="s">
        <v>40</v>
      </c>
      <c r="T12" s="44">
        <f>$F12+$I12-1</f>
        <v>2</v>
      </c>
      <c r="U12" s="46">
        <f>IF($L12="Deferred",0,$J12)</f>
        <v>3</v>
      </c>
      <c r="V12" s="46">
        <f>IF($L12="Deferred",0,$J12*$M12)</f>
        <v>0</v>
      </c>
      <c r="W12" s="46">
        <f>IF($L12="Deferred",0,N($K12))</f>
        <v>0</v>
      </c>
      <c r="X12" s="46">
        <f>$F12</f>
        <v>2</v>
      </c>
      <c r="Y12" s="46">
        <f>$T12</f>
        <v>2</v>
      </c>
    </row>
    <row r="13" spans="1:25" ht="26.4" x14ac:dyDescent="0.3">
      <c r="A13" s="43" t="s">
        <v>181</v>
      </c>
      <c r="B13" s="44">
        <v>3</v>
      </c>
      <c r="C13" s="45" t="s">
        <v>182</v>
      </c>
      <c r="D13" s="46" t="s">
        <v>160</v>
      </c>
      <c r="E13" s="44" t="s">
        <v>164</v>
      </c>
      <c r="F13" s="44">
        <v>2</v>
      </c>
      <c r="G13" s="47">
        <f>IF($F13="","",Dashboard!$B$3+$F13-1)</f>
        <v>46295</v>
      </c>
      <c r="H13" s="47">
        <f>IF($T13="","",Dashboard!$B$3+$T13-1)</f>
        <v>46295</v>
      </c>
      <c r="I13" s="44">
        <v>1</v>
      </c>
      <c r="J13" s="48">
        <v>2</v>
      </c>
      <c r="K13" s="48"/>
      <c r="L13" s="46" t="s">
        <v>165</v>
      </c>
      <c r="M13" s="49">
        <f>IF($L13="Done",1,IF($L13="Doing",0.5,0))</f>
        <v>0</v>
      </c>
      <c r="N13" s="44"/>
      <c r="O13" s="46"/>
      <c r="P13" s="45" t="s">
        <v>183</v>
      </c>
      <c r="Q13" s="45"/>
      <c r="R13" s="43" t="s">
        <v>105</v>
      </c>
      <c r="S13" s="43" t="s">
        <v>40</v>
      </c>
      <c r="T13" s="44">
        <f>$F13+$I13-1</f>
        <v>2</v>
      </c>
      <c r="U13" s="46">
        <f>IF($L13="Deferred",0,$J13)</f>
        <v>2</v>
      </c>
      <c r="V13" s="46">
        <f>IF($L13="Deferred",0,$J13*$M13)</f>
        <v>0</v>
      </c>
      <c r="W13" s="46">
        <f>IF($L13="Deferred",0,N($K13))</f>
        <v>0</v>
      </c>
      <c r="X13" s="46">
        <f>$F13</f>
        <v>2</v>
      </c>
      <c r="Y13" s="46">
        <f>$T13</f>
        <v>2</v>
      </c>
    </row>
    <row r="14" spans="1:25" ht="26.4" x14ac:dyDescent="0.3">
      <c r="A14" s="43" t="s">
        <v>184</v>
      </c>
      <c r="B14" s="44">
        <v>3</v>
      </c>
      <c r="C14" s="45" t="s">
        <v>185</v>
      </c>
      <c r="D14" s="46" t="s">
        <v>160</v>
      </c>
      <c r="E14" s="44" t="s">
        <v>164</v>
      </c>
      <c r="F14" s="44">
        <v>3</v>
      </c>
      <c r="G14" s="47">
        <f>IF($F14="","",Dashboard!$B$3+$F14-1)</f>
        <v>46296</v>
      </c>
      <c r="H14" s="47">
        <f>IF($T14="","",Dashboard!$B$3+$T14-1)</f>
        <v>46296</v>
      </c>
      <c r="I14" s="44">
        <v>1</v>
      </c>
      <c r="J14" s="48">
        <v>2</v>
      </c>
      <c r="K14" s="48"/>
      <c r="L14" s="46" t="s">
        <v>165</v>
      </c>
      <c r="M14" s="49">
        <f>IF($L14="Done",1,IF($L14="Doing",0.5,0))</f>
        <v>0</v>
      </c>
      <c r="N14" s="44"/>
      <c r="O14" s="46"/>
      <c r="P14" s="45" t="s">
        <v>186</v>
      </c>
      <c r="Q14" s="45"/>
      <c r="R14" s="43" t="s">
        <v>105</v>
      </c>
      <c r="S14" s="43" t="s">
        <v>40</v>
      </c>
      <c r="T14" s="44">
        <f>$F14+$I14-1</f>
        <v>3</v>
      </c>
      <c r="U14" s="46">
        <f>IF($L14="Deferred",0,$J14)</f>
        <v>2</v>
      </c>
      <c r="V14" s="46">
        <f>IF($L14="Deferred",0,$J14*$M14)</f>
        <v>0</v>
      </c>
      <c r="W14" s="46">
        <f>IF($L14="Deferred",0,N($K14))</f>
        <v>0</v>
      </c>
      <c r="X14" s="46">
        <f>$F14</f>
        <v>3</v>
      </c>
      <c r="Y14" s="46">
        <f>$T14</f>
        <v>3</v>
      </c>
    </row>
    <row r="15" spans="1:25" x14ac:dyDescent="0.3">
      <c r="A15" s="36" t="s">
        <v>106</v>
      </c>
      <c r="B15" s="37">
        <v>2</v>
      </c>
      <c r="C15" s="38" t="s">
        <v>187</v>
      </c>
      <c r="D15" s="39" t="s">
        <v>160</v>
      </c>
      <c r="E15" s="37"/>
      <c r="F15" s="37">
        <f>IFERROR(_xlfn.MINIFS($X$5:$X$144,$R$5:$R$144,$A15,$B$5:$B$144,3),"")</f>
        <v>2</v>
      </c>
      <c r="G15" s="40">
        <f>IF($F15="","",Dashboard!$B$3+$F15-1)</f>
        <v>46295</v>
      </c>
      <c r="H15" s="40">
        <f>IF($T15="","",Dashboard!$B$3+$T15-1)</f>
        <v>46296</v>
      </c>
      <c r="I15" s="37">
        <f>IFERROR($T15-$F15+1,"")</f>
        <v>2</v>
      </c>
      <c r="J15" s="41">
        <f>SUMIFS($U$5:$U$144,$R$5:$R$144,$A15,$B$5:$B$144,3)</f>
        <v>7.5</v>
      </c>
      <c r="K15" s="41">
        <f>SUMIFS($W$5:$W$144,$R$5:$R$144,$A15,$B$5:$B$144,3)</f>
        <v>0</v>
      </c>
      <c r="L15" s="39"/>
      <c r="M15" s="42">
        <f>IFERROR(SUMIFS($V$5:$V$144,$R$5:$R$144,$A15,$B$5:$B$144,3)/SUMIFS($U$5:$U$144,$R$5:$R$144,$A15,$B$5:$B$144,3),0)</f>
        <v>0</v>
      </c>
      <c r="N15" s="37"/>
      <c r="O15" s="39"/>
      <c r="P15" s="38"/>
      <c r="Q15" s="38"/>
      <c r="R15" s="36" t="s">
        <v>40</v>
      </c>
      <c r="S15" s="36" t="s">
        <v>40</v>
      </c>
      <c r="T15" s="37">
        <f>IFERROR(_xlfn.MAXIFS($Y$5:$Y$144,$R$5:$R$144,$A15,$B$5:$B$144,3),"")</f>
        <v>3</v>
      </c>
      <c r="U15" s="39"/>
      <c r="V15" s="39"/>
      <c r="W15" s="39"/>
      <c r="X15" s="39"/>
      <c r="Y15" s="39"/>
    </row>
    <row r="16" spans="1:25" x14ac:dyDescent="0.3">
      <c r="A16" s="43" t="s">
        <v>188</v>
      </c>
      <c r="B16" s="44">
        <v>3</v>
      </c>
      <c r="C16" s="45" t="s">
        <v>189</v>
      </c>
      <c r="D16" s="46" t="s">
        <v>160</v>
      </c>
      <c r="E16" s="44" t="s">
        <v>164</v>
      </c>
      <c r="F16" s="44">
        <v>2</v>
      </c>
      <c r="G16" s="47">
        <f>IF($F16="","",Dashboard!$B$3+$F16-1)</f>
        <v>46295</v>
      </c>
      <c r="H16" s="47">
        <f>IF($T16="","",Dashboard!$B$3+$T16-1)</f>
        <v>46295</v>
      </c>
      <c r="I16" s="44">
        <v>1</v>
      </c>
      <c r="J16" s="48">
        <v>2</v>
      </c>
      <c r="K16" s="48"/>
      <c r="L16" s="46" t="s">
        <v>165</v>
      </c>
      <c r="M16" s="49">
        <f>IF($L16="Done",1,IF($L16="Doing",0.5,0))</f>
        <v>0</v>
      </c>
      <c r="N16" s="44"/>
      <c r="O16" s="46"/>
      <c r="P16" s="45" t="s">
        <v>190</v>
      </c>
      <c r="Q16" s="45"/>
      <c r="R16" s="43" t="s">
        <v>106</v>
      </c>
      <c r="S16" s="43" t="s">
        <v>40</v>
      </c>
      <c r="T16" s="44">
        <f>$F16+$I16-1</f>
        <v>2</v>
      </c>
      <c r="U16" s="46">
        <f>IF($L16="Deferred",0,$J16)</f>
        <v>2</v>
      </c>
      <c r="V16" s="46">
        <f>IF($L16="Deferred",0,$J16*$M16)</f>
        <v>0</v>
      </c>
      <c r="W16" s="46">
        <f>IF($L16="Deferred",0,N($K16))</f>
        <v>0</v>
      </c>
      <c r="X16" s="46">
        <f>$F16</f>
        <v>2</v>
      </c>
      <c r="Y16" s="46">
        <f>$T16</f>
        <v>2</v>
      </c>
    </row>
    <row r="17" spans="1:25" x14ac:dyDescent="0.3">
      <c r="A17" s="43" t="s">
        <v>191</v>
      </c>
      <c r="B17" s="44">
        <v>3</v>
      </c>
      <c r="C17" s="45" t="s">
        <v>192</v>
      </c>
      <c r="D17" s="46" t="s">
        <v>160</v>
      </c>
      <c r="E17" s="44" t="s">
        <v>164</v>
      </c>
      <c r="F17" s="44">
        <v>3</v>
      </c>
      <c r="G17" s="47">
        <f>IF($F17="","",Dashboard!$B$3+$F17-1)</f>
        <v>46296</v>
      </c>
      <c r="H17" s="47">
        <f>IF($T17="","",Dashboard!$B$3+$T17-1)</f>
        <v>46296</v>
      </c>
      <c r="I17" s="44">
        <v>1</v>
      </c>
      <c r="J17" s="48">
        <v>1.5</v>
      </c>
      <c r="K17" s="48"/>
      <c r="L17" s="46" t="s">
        <v>165</v>
      </c>
      <c r="M17" s="49">
        <f>IF($L17="Done",1,IF($L17="Doing",0.5,0))</f>
        <v>0</v>
      </c>
      <c r="N17" s="44"/>
      <c r="O17" s="46"/>
      <c r="P17" s="45" t="s">
        <v>193</v>
      </c>
      <c r="Q17" s="45"/>
      <c r="R17" s="43" t="s">
        <v>106</v>
      </c>
      <c r="S17" s="43" t="s">
        <v>40</v>
      </c>
      <c r="T17" s="44">
        <f>$F17+$I17-1</f>
        <v>3</v>
      </c>
      <c r="U17" s="46">
        <f>IF($L17="Deferred",0,$J17)</f>
        <v>1.5</v>
      </c>
      <c r="V17" s="46">
        <f>IF($L17="Deferred",0,$J17*$M17)</f>
        <v>0</v>
      </c>
      <c r="W17" s="46">
        <f>IF($L17="Deferred",0,N($K17))</f>
        <v>0</v>
      </c>
      <c r="X17" s="46">
        <f>$F17</f>
        <v>3</v>
      </c>
      <c r="Y17" s="46">
        <f>$T17</f>
        <v>3</v>
      </c>
    </row>
    <row r="18" spans="1:25" x14ac:dyDescent="0.3">
      <c r="A18" s="43" t="s">
        <v>194</v>
      </c>
      <c r="B18" s="44">
        <v>3</v>
      </c>
      <c r="C18" s="45" t="s">
        <v>195</v>
      </c>
      <c r="D18" s="46" t="s">
        <v>160</v>
      </c>
      <c r="E18" s="44" t="s">
        <v>164</v>
      </c>
      <c r="F18" s="44">
        <v>3</v>
      </c>
      <c r="G18" s="47">
        <f>IF($F18="","",Dashboard!$B$3+$F18-1)</f>
        <v>46296</v>
      </c>
      <c r="H18" s="47">
        <f>IF($T18="","",Dashboard!$B$3+$T18-1)</f>
        <v>46296</v>
      </c>
      <c r="I18" s="44">
        <v>1</v>
      </c>
      <c r="J18" s="48">
        <v>3</v>
      </c>
      <c r="K18" s="48"/>
      <c r="L18" s="46" t="s">
        <v>165</v>
      </c>
      <c r="M18" s="49">
        <f>IF($L18="Done",1,IF($L18="Doing",0.5,0))</f>
        <v>0</v>
      </c>
      <c r="N18" s="44"/>
      <c r="O18" s="46"/>
      <c r="P18" s="45" t="s">
        <v>196</v>
      </c>
      <c r="Q18" s="45"/>
      <c r="R18" s="43" t="s">
        <v>106</v>
      </c>
      <c r="S18" s="43" t="s">
        <v>40</v>
      </c>
      <c r="T18" s="44">
        <f>$F18+$I18-1</f>
        <v>3</v>
      </c>
      <c r="U18" s="46">
        <f>IF($L18="Deferred",0,$J18)</f>
        <v>3</v>
      </c>
      <c r="V18" s="46">
        <f>IF($L18="Deferred",0,$J18*$M18)</f>
        <v>0</v>
      </c>
      <c r="W18" s="46">
        <f>IF($L18="Deferred",0,N($K18))</f>
        <v>0</v>
      </c>
      <c r="X18" s="46">
        <f>$F18</f>
        <v>3</v>
      </c>
      <c r="Y18" s="46">
        <f>$T18</f>
        <v>3</v>
      </c>
    </row>
    <row r="19" spans="1:25" x14ac:dyDescent="0.3">
      <c r="A19" s="43" t="s">
        <v>197</v>
      </c>
      <c r="B19" s="44">
        <v>3</v>
      </c>
      <c r="C19" s="45" t="s">
        <v>198</v>
      </c>
      <c r="D19" s="46" t="s">
        <v>160</v>
      </c>
      <c r="E19" s="44" t="s">
        <v>164</v>
      </c>
      <c r="F19" s="44">
        <v>3</v>
      </c>
      <c r="G19" s="47">
        <f>IF($F19="","",Dashboard!$B$3+$F19-1)</f>
        <v>46296</v>
      </c>
      <c r="H19" s="47">
        <f>IF($T19="","",Dashboard!$B$3+$T19-1)</f>
        <v>46296</v>
      </c>
      <c r="I19" s="44">
        <v>1</v>
      </c>
      <c r="J19" s="48">
        <v>1</v>
      </c>
      <c r="K19" s="48"/>
      <c r="L19" s="46" t="s">
        <v>165</v>
      </c>
      <c r="M19" s="49">
        <f>IF($L19="Done",1,IF($L19="Doing",0.5,0))</f>
        <v>0</v>
      </c>
      <c r="N19" s="44"/>
      <c r="O19" s="46"/>
      <c r="P19" s="45" t="s">
        <v>199</v>
      </c>
      <c r="Q19" s="45"/>
      <c r="R19" s="43" t="s">
        <v>106</v>
      </c>
      <c r="S19" s="43" t="s">
        <v>40</v>
      </c>
      <c r="T19" s="44">
        <f>$F19+$I19-1</f>
        <v>3</v>
      </c>
      <c r="U19" s="46">
        <f>IF($L19="Deferred",0,$J19)</f>
        <v>1</v>
      </c>
      <c r="V19" s="46">
        <f>IF($L19="Deferred",0,$J19*$M19)</f>
        <v>0</v>
      </c>
      <c r="W19" s="46">
        <f>IF($L19="Deferred",0,N($K19))</f>
        <v>0</v>
      </c>
      <c r="X19" s="46">
        <f>$F19</f>
        <v>3</v>
      </c>
      <c r="Y19" s="46">
        <f>$T19</f>
        <v>3</v>
      </c>
    </row>
    <row r="20" spans="1:25" x14ac:dyDescent="0.3">
      <c r="A20" s="36" t="s">
        <v>107</v>
      </c>
      <c r="B20" s="37">
        <v>2</v>
      </c>
      <c r="C20" s="38" t="s">
        <v>200</v>
      </c>
      <c r="D20" s="39" t="s">
        <v>160</v>
      </c>
      <c r="E20" s="37"/>
      <c r="F20" s="37">
        <f>IFERROR(_xlfn.MINIFS($X$5:$X$144,$R$5:$R$144,$A20,$B$5:$B$144,3),"")</f>
        <v>3</v>
      </c>
      <c r="G20" s="40">
        <f>IF($F20="","",Dashboard!$B$3+$F20-1)</f>
        <v>46296</v>
      </c>
      <c r="H20" s="40">
        <f>IF($T20="","",Dashboard!$B$3+$T20-1)</f>
        <v>46296</v>
      </c>
      <c r="I20" s="37">
        <f>IFERROR($T20-$F20+1,"")</f>
        <v>1</v>
      </c>
      <c r="J20" s="41">
        <f>SUMIFS($U$5:$U$144,$R$5:$R$144,$A20,$B$5:$B$144,3)</f>
        <v>1</v>
      </c>
      <c r="K20" s="41">
        <f>SUMIFS($W$5:$W$144,$R$5:$R$144,$A20,$B$5:$B$144,3)</f>
        <v>0</v>
      </c>
      <c r="L20" s="39"/>
      <c r="M20" s="42">
        <f>IFERROR(SUMIFS($V$5:$V$144,$R$5:$R$144,$A20,$B$5:$B$144,3)/SUMIFS($U$5:$U$144,$R$5:$R$144,$A20,$B$5:$B$144,3),0)</f>
        <v>0</v>
      </c>
      <c r="N20" s="37"/>
      <c r="O20" s="39"/>
      <c r="P20" s="38"/>
      <c r="Q20" s="38"/>
      <c r="R20" s="36" t="s">
        <v>40</v>
      </c>
      <c r="S20" s="36" t="s">
        <v>40</v>
      </c>
      <c r="T20" s="37">
        <f>IFERROR(_xlfn.MAXIFS($Y$5:$Y$144,$R$5:$R$144,$A20,$B$5:$B$144,3),"")</f>
        <v>3</v>
      </c>
      <c r="U20" s="39"/>
      <c r="V20" s="39"/>
      <c r="W20" s="39"/>
      <c r="X20" s="39"/>
      <c r="Y20" s="39"/>
    </row>
    <row r="21" spans="1:25" x14ac:dyDescent="0.3">
      <c r="A21" s="43" t="s">
        <v>201</v>
      </c>
      <c r="B21" s="44">
        <v>3</v>
      </c>
      <c r="C21" s="45" t="s">
        <v>202</v>
      </c>
      <c r="D21" s="46" t="s">
        <v>160</v>
      </c>
      <c r="E21" s="44" t="s">
        <v>164</v>
      </c>
      <c r="F21" s="44">
        <v>3</v>
      </c>
      <c r="G21" s="47">
        <f>IF($F21="","",Dashboard!$B$3+$F21-1)</f>
        <v>46296</v>
      </c>
      <c r="H21" s="47">
        <f>IF($T21="","",Dashboard!$B$3+$T21-1)</f>
        <v>46296</v>
      </c>
      <c r="I21" s="44">
        <v>1</v>
      </c>
      <c r="J21" s="48">
        <v>0.5</v>
      </c>
      <c r="K21" s="48"/>
      <c r="L21" s="46" t="s">
        <v>165</v>
      </c>
      <c r="M21" s="49">
        <f>IF($L21="Done",1,IF($L21="Doing",0.5,0))</f>
        <v>0</v>
      </c>
      <c r="N21" s="44"/>
      <c r="O21" s="46" t="s">
        <v>203</v>
      </c>
      <c r="P21" s="45" t="s">
        <v>204</v>
      </c>
      <c r="Q21" s="45"/>
      <c r="R21" s="43" t="s">
        <v>107</v>
      </c>
      <c r="S21" s="43" t="s">
        <v>40</v>
      </c>
      <c r="T21" s="44">
        <f>$F21+$I21-1</f>
        <v>3</v>
      </c>
      <c r="U21" s="46">
        <f>IF($L21="Deferred",0,$J21)</f>
        <v>0.5</v>
      </c>
      <c r="V21" s="46">
        <f>IF($L21="Deferred",0,$J21*$M21)</f>
        <v>0</v>
      </c>
      <c r="W21" s="46">
        <f>IF($L21="Deferred",0,N($K21))</f>
        <v>0</v>
      </c>
      <c r="X21" s="46">
        <f>$F21</f>
        <v>3</v>
      </c>
      <c r="Y21" s="46">
        <f>$T21</f>
        <v>3</v>
      </c>
    </row>
    <row r="22" spans="1:25" x14ac:dyDescent="0.3">
      <c r="A22" s="43" t="s">
        <v>205</v>
      </c>
      <c r="B22" s="44">
        <v>3</v>
      </c>
      <c r="C22" s="45" t="s">
        <v>206</v>
      </c>
      <c r="D22" s="46" t="s">
        <v>160</v>
      </c>
      <c r="E22" s="44" t="s">
        <v>164</v>
      </c>
      <c r="F22" s="44">
        <v>3</v>
      </c>
      <c r="G22" s="47">
        <f>IF($F22="","",Dashboard!$B$3+$F22-1)</f>
        <v>46296</v>
      </c>
      <c r="H22" s="47">
        <f>IF($T22="","",Dashboard!$B$3+$T22-1)</f>
        <v>46296</v>
      </c>
      <c r="I22" s="44">
        <v>1</v>
      </c>
      <c r="J22" s="48">
        <v>0.5</v>
      </c>
      <c r="K22" s="48"/>
      <c r="L22" s="46" t="s">
        <v>165</v>
      </c>
      <c r="M22" s="49">
        <f>IF($L22="Done",1,IF($L22="Doing",0.5,0))</f>
        <v>0</v>
      </c>
      <c r="N22" s="44" t="s">
        <v>65</v>
      </c>
      <c r="O22" s="46"/>
      <c r="P22" s="45" t="s">
        <v>207</v>
      </c>
      <c r="Q22" s="45"/>
      <c r="R22" s="43" t="s">
        <v>107</v>
      </c>
      <c r="S22" s="43" t="s">
        <v>40</v>
      </c>
      <c r="T22" s="44">
        <f>$F22+$I22-1</f>
        <v>3</v>
      </c>
      <c r="U22" s="46">
        <f>IF($L22="Deferred",0,$J22)</f>
        <v>0.5</v>
      </c>
      <c r="V22" s="46">
        <f>IF($L22="Deferred",0,$J22*$M22)</f>
        <v>0</v>
      </c>
      <c r="W22" s="46">
        <f>IF($L22="Deferred",0,N($K22))</f>
        <v>0</v>
      </c>
      <c r="X22" s="46">
        <f>$F22</f>
        <v>3</v>
      </c>
      <c r="Y22" s="46">
        <f>$T22</f>
        <v>3</v>
      </c>
    </row>
    <row r="23" spans="1:25" x14ac:dyDescent="0.3">
      <c r="A23" s="36" t="s">
        <v>108</v>
      </c>
      <c r="B23" s="37">
        <v>2</v>
      </c>
      <c r="C23" s="38" t="s">
        <v>208</v>
      </c>
      <c r="D23" s="39" t="s">
        <v>160</v>
      </c>
      <c r="E23" s="37"/>
      <c r="F23" s="37">
        <f>IFERROR(_xlfn.MINIFS($X$5:$X$144,$R$5:$R$144,$A23,$B$5:$B$144,3),"")</f>
        <v>1</v>
      </c>
      <c r="G23" s="40">
        <f>IF($F23="","",Dashboard!$B$3+$F23-1)</f>
        <v>46294</v>
      </c>
      <c r="H23" s="40">
        <f>IF($T23="","",Dashboard!$B$3+$T23-1)</f>
        <v>46294</v>
      </c>
      <c r="I23" s="37">
        <f>IFERROR($T23-$F23+1,"")</f>
        <v>1</v>
      </c>
      <c r="J23" s="41">
        <f>SUMIFS($U$5:$U$144,$R$5:$R$144,$A23,$B$5:$B$144,3)</f>
        <v>4</v>
      </c>
      <c r="K23" s="41">
        <f>SUMIFS($W$5:$W$144,$R$5:$R$144,$A23,$B$5:$B$144,3)</f>
        <v>0</v>
      </c>
      <c r="L23" s="39"/>
      <c r="M23" s="42">
        <f>IFERROR(SUMIFS($V$5:$V$144,$R$5:$R$144,$A23,$B$5:$B$144,3)/SUMIFS($U$5:$U$144,$R$5:$R$144,$A23,$B$5:$B$144,3),0)</f>
        <v>0.75</v>
      </c>
      <c r="N23" s="37"/>
      <c r="O23" s="39"/>
      <c r="P23" s="38"/>
      <c r="Q23" s="38"/>
      <c r="R23" s="36" t="s">
        <v>40</v>
      </c>
      <c r="S23" s="36" t="s">
        <v>40</v>
      </c>
      <c r="T23" s="37">
        <f>IFERROR(_xlfn.MAXIFS($Y$5:$Y$144,$R$5:$R$144,$A23,$B$5:$B$144,3),"")</f>
        <v>1</v>
      </c>
      <c r="U23" s="39"/>
      <c r="V23" s="39"/>
      <c r="W23" s="39"/>
      <c r="X23" s="39"/>
      <c r="Y23" s="39"/>
    </row>
    <row r="24" spans="1:25" x14ac:dyDescent="0.3">
      <c r="A24" s="43" t="s">
        <v>209</v>
      </c>
      <c r="B24" s="44">
        <v>3</v>
      </c>
      <c r="C24" s="45" t="s">
        <v>210</v>
      </c>
      <c r="D24" s="46" t="s">
        <v>160</v>
      </c>
      <c r="E24" s="44" t="s">
        <v>211</v>
      </c>
      <c r="F24" s="44">
        <v>1</v>
      </c>
      <c r="G24" s="47">
        <f>IF($F24="","",Dashboard!$B$3+$F24-1)</f>
        <v>46294</v>
      </c>
      <c r="H24" s="47">
        <f>IF($T24="","",Dashboard!$B$3+$T24-1)</f>
        <v>46294</v>
      </c>
      <c r="I24" s="44">
        <v>1</v>
      </c>
      <c r="J24" s="48">
        <v>2</v>
      </c>
      <c r="K24" s="48"/>
      <c r="L24" s="46" t="s">
        <v>39</v>
      </c>
      <c r="M24" s="49">
        <f>IF($L24="Done",1,IF($L24="Doing",0.5,0))</f>
        <v>1</v>
      </c>
      <c r="N24" s="44"/>
      <c r="O24" s="46" t="s">
        <v>212</v>
      </c>
      <c r="P24" s="45" t="s">
        <v>213</v>
      </c>
      <c r="Q24" s="45"/>
      <c r="R24" s="43" t="s">
        <v>108</v>
      </c>
      <c r="S24" s="43" t="s">
        <v>40</v>
      </c>
      <c r="T24" s="44">
        <f>$F24+$I24-1</f>
        <v>1</v>
      </c>
      <c r="U24" s="46">
        <f>IF($L24="Deferred",0,$J24)</f>
        <v>2</v>
      </c>
      <c r="V24" s="46">
        <f>IF($L24="Deferred",0,$J24*$M24)</f>
        <v>2</v>
      </c>
      <c r="W24" s="46">
        <f>IF($L24="Deferred",0,N($K24))</f>
        <v>0</v>
      </c>
      <c r="X24" s="46">
        <f>$F24</f>
        <v>1</v>
      </c>
      <c r="Y24" s="46">
        <f>$T24</f>
        <v>1</v>
      </c>
    </row>
    <row r="25" spans="1:25" x14ac:dyDescent="0.3">
      <c r="A25" s="43" t="s">
        <v>214</v>
      </c>
      <c r="B25" s="44">
        <v>3</v>
      </c>
      <c r="C25" s="45" t="s">
        <v>215</v>
      </c>
      <c r="D25" s="46" t="s">
        <v>160</v>
      </c>
      <c r="E25" s="44" t="s">
        <v>216</v>
      </c>
      <c r="F25" s="44">
        <v>1</v>
      </c>
      <c r="G25" s="47">
        <f>IF($F25="","",Dashboard!$B$3+$F25-1)</f>
        <v>46294</v>
      </c>
      <c r="H25" s="47">
        <f>IF($T25="","",Dashboard!$B$3+$T25-1)</f>
        <v>46294</v>
      </c>
      <c r="I25" s="44">
        <v>1</v>
      </c>
      <c r="J25" s="48">
        <v>1</v>
      </c>
      <c r="K25" s="48"/>
      <c r="L25" s="46" t="s">
        <v>165</v>
      </c>
      <c r="M25" s="49">
        <f>IF($L25="Done",1,IF($L25="Doing",0.5,0))</f>
        <v>0</v>
      </c>
      <c r="N25" s="44"/>
      <c r="O25" s="46"/>
      <c r="P25" s="45" t="s">
        <v>217</v>
      </c>
      <c r="Q25" s="45"/>
      <c r="R25" s="43" t="s">
        <v>108</v>
      </c>
      <c r="S25" s="43" t="s">
        <v>40</v>
      </c>
      <c r="T25" s="44">
        <f>$F25+$I25-1</f>
        <v>1</v>
      </c>
      <c r="U25" s="46">
        <f>IF($L25="Deferred",0,$J25)</f>
        <v>1</v>
      </c>
      <c r="V25" s="46">
        <f>IF($L25="Deferred",0,$J25*$M25)</f>
        <v>0</v>
      </c>
      <c r="W25" s="46">
        <f>IF($L25="Deferred",0,N($K25))</f>
        <v>0</v>
      </c>
      <c r="X25" s="46">
        <f>$F25</f>
        <v>1</v>
      </c>
      <c r="Y25" s="46">
        <f>$T25</f>
        <v>1</v>
      </c>
    </row>
    <row r="26" spans="1:25" x14ac:dyDescent="0.3">
      <c r="A26" s="43" t="s">
        <v>218</v>
      </c>
      <c r="B26" s="44">
        <v>3</v>
      </c>
      <c r="C26" s="45" t="s">
        <v>219</v>
      </c>
      <c r="D26" s="46" t="s">
        <v>160</v>
      </c>
      <c r="E26" s="44" t="s">
        <v>211</v>
      </c>
      <c r="F26" s="44">
        <v>1</v>
      </c>
      <c r="G26" s="47">
        <f>IF($F26="","",Dashboard!$B$3+$F26-1)</f>
        <v>46294</v>
      </c>
      <c r="H26" s="47">
        <f>IF($T26="","",Dashboard!$B$3+$T26-1)</f>
        <v>46294</v>
      </c>
      <c r="I26" s="44">
        <v>1</v>
      </c>
      <c r="J26" s="48">
        <v>1</v>
      </c>
      <c r="K26" s="48"/>
      <c r="L26" s="46" t="s">
        <v>39</v>
      </c>
      <c r="M26" s="49">
        <f>IF($L26="Done",1,IF($L26="Doing",0.5,0))</f>
        <v>1</v>
      </c>
      <c r="N26" s="44"/>
      <c r="O26" s="46"/>
      <c r="P26" s="45" t="s">
        <v>220</v>
      </c>
      <c r="Q26" s="45"/>
      <c r="R26" s="43" t="s">
        <v>108</v>
      </c>
      <c r="S26" s="43" t="s">
        <v>40</v>
      </c>
      <c r="T26" s="44">
        <f>$F26+$I26-1</f>
        <v>1</v>
      </c>
      <c r="U26" s="46">
        <f>IF($L26="Deferred",0,$J26)</f>
        <v>1</v>
      </c>
      <c r="V26" s="46">
        <f>IF($L26="Deferred",0,$J26*$M26)</f>
        <v>1</v>
      </c>
      <c r="W26" s="46">
        <f>IF($L26="Deferred",0,N($K26))</f>
        <v>0</v>
      </c>
      <c r="X26" s="46">
        <f>$F26</f>
        <v>1</v>
      </c>
      <c r="Y26" s="46">
        <f>$T26</f>
        <v>1</v>
      </c>
    </row>
    <row r="27" spans="1:25" x14ac:dyDescent="0.3">
      <c r="A27" s="29" t="s">
        <v>42</v>
      </c>
      <c r="B27" s="30">
        <v>1</v>
      </c>
      <c r="C27" s="31" t="s">
        <v>221</v>
      </c>
      <c r="D27" s="32" t="s">
        <v>221</v>
      </c>
      <c r="E27" s="30"/>
      <c r="F27" s="30">
        <f>IFERROR(_xlfn.MINIFS($X$5:$X$144,$S$5:$S$144,$A27,$B$5:$B$144,3),"")</f>
        <v>4</v>
      </c>
      <c r="G27" s="33">
        <f>IF($F27="","",Dashboard!$B$3+$F27-1)</f>
        <v>46297</v>
      </c>
      <c r="H27" s="33">
        <f>IF($T27="","",Dashboard!$B$3+$T27-1)</f>
        <v>46298</v>
      </c>
      <c r="I27" s="30">
        <f>IFERROR($T27-$F27+1,"")</f>
        <v>2</v>
      </c>
      <c r="J27" s="34">
        <f>SUMIFS($U$5:$U$144,$S$5:$S$144,$A27,$B$5:$B$144,3)</f>
        <v>16</v>
      </c>
      <c r="K27" s="34">
        <f>SUMIFS($W$5:$W$144,$S$5:$S$144,$A27,$B$5:$B$144,3)</f>
        <v>0</v>
      </c>
      <c r="L27" s="32"/>
      <c r="M27" s="35">
        <f>IFERROR(SUMIFS($V$5:$V$144,$S$5:$S$144,$A27,$B$5:$B$144,3)/SUMIFS($U$5:$U$144,$S$5:$S$144,$A27,$B$5:$B$144,3),0)</f>
        <v>0</v>
      </c>
      <c r="N27" s="30"/>
      <c r="O27" s="32"/>
      <c r="P27" s="31"/>
      <c r="Q27" s="31"/>
      <c r="R27" s="29"/>
      <c r="S27" s="29"/>
      <c r="T27" s="30">
        <f>IFERROR(_xlfn.MAXIFS($Y$5:$Y$144,$S$5:$S$144,$A27,$B$5:$B$144,3),"")</f>
        <v>5</v>
      </c>
      <c r="U27" s="32"/>
      <c r="V27" s="32"/>
      <c r="W27" s="32"/>
      <c r="X27" s="32"/>
      <c r="Y27" s="32"/>
    </row>
    <row r="28" spans="1:25" x14ac:dyDescent="0.3">
      <c r="A28" s="36" t="s">
        <v>109</v>
      </c>
      <c r="B28" s="37">
        <v>2</v>
      </c>
      <c r="C28" s="38" t="s">
        <v>222</v>
      </c>
      <c r="D28" s="39" t="s">
        <v>221</v>
      </c>
      <c r="E28" s="37"/>
      <c r="F28" s="37">
        <f>IFERROR(_xlfn.MINIFS($X$5:$X$144,$R$5:$R$144,$A28,$B$5:$B$144,3),"")</f>
        <v>4</v>
      </c>
      <c r="G28" s="40">
        <f>IF($F28="","",Dashboard!$B$3+$F28-1)</f>
        <v>46297</v>
      </c>
      <c r="H28" s="40">
        <f>IF($T28="","",Dashboard!$B$3+$T28-1)</f>
        <v>46297</v>
      </c>
      <c r="I28" s="37">
        <f>IFERROR($T28-$F28+1,"")</f>
        <v>1</v>
      </c>
      <c r="J28" s="41">
        <f>SUMIFS($U$5:$U$144,$R$5:$R$144,$A28,$B$5:$B$144,3)</f>
        <v>5</v>
      </c>
      <c r="K28" s="41">
        <f>SUMIFS($W$5:$W$144,$R$5:$R$144,$A28,$B$5:$B$144,3)</f>
        <v>0</v>
      </c>
      <c r="L28" s="39"/>
      <c r="M28" s="42">
        <f>IFERROR(SUMIFS($V$5:$V$144,$R$5:$R$144,$A28,$B$5:$B$144,3)/SUMIFS($U$5:$U$144,$R$5:$R$144,$A28,$B$5:$B$144,3),0)</f>
        <v>0</v>
      </c>
      <c r="N28" s="37"/>
      <c r="O28" s="39"/>
      <c r="P28" s="38"/>
      <c r="Q28" s="38"/>
      <c r="R28" s="36" t="s">
        <v>42</v>
      </c>
      <c r="S28" s="36" t="s">
        <v>42</v>
      </c>
      <c r="T28" s="37">
        <f>IFERROR(_xlfn.MAXIFS($Y$5:$Y$144,$R$5:$R$144,$A28,$B$5:$B$144,3),"")</f>
        <v>4</v>
      </c>
      <c r="U28" s="39"/>
      <c r="V28" s="39"/>
      <c r="W28" s="39"/>
      <c r="X28" s="39"/>
      <c r="Y28" s="39"/>
    </row>
    <row r="29" spans="1:25" x14ac:dyDescent="0.3">
      <c r="A29" s="43" t="s">
        <v>223</v>
      </c>
      <c r="B29" s="44">
        <v>3</v>
      </c>
      <c r="C29" s="45" t="s">
        <v>224</v>
      </c>
      <c r="D29" s="46" t="s">
        <v>221</v>
      </c>
      <c r="E29" s="44" t="s">
        <v>216</v>
      </c>
      <c r="F29" s="44">
        <v>4</v>
      </c>
      <c r="G29" s="47">
        <f>IF($F29="","",Dashboard!$B$3+$F29-1)</f>
        <v>46297</v>
      </c>
      <c r="H29" s="47">
        <f>IF($T29="","",Dashboard!$B$3+$T29-1)</f>
        <v>46297</v>
      </c>
      <c r="I29" s="44">
        <v>1</v>
      </c>
      <c r="J29" s="48">
        <v>3</v>
      </c>
      <c r="K29" s="48"/>
      <c r="L29" s="46" t="s">
        <v>165</v>
      </c>
      <c r="M29" s="49">
        <f>IF($L29="Done",1,IF($L29="Doing",0.5,0))</f>
        <v>0</v>
      </c>
      <c r="N29" s="44"/>
      <c r="O29" s="46"/>
      <c r="P29" s="45" t="s">
        <v>225</v>
      </c>
      <c r="Q29" s="45"/>
      <c r="R29" s="43" t="s">
        <v>109</v>
      </c>
      <c r="S29" s="43" t="s">
        <v>42</v>
      </c>
      <c r="T29" s="44">
        <f>$F29+$I29-1</f>
        <v>4</v>
      </c>
      <c r="U29" s="46">
        <f>IF($L29="Deferred",0,$J29)</f>
        <v>3</v>
      </c>
      <c r="V29" s="46">
        <f>IF($L29="Deferred",0,$J29*$M29)</f>
        <v>0</v>
      </c>
      <c r="W29" s="46">
        <f>IF($L29="Deferred",0,N($K29))</f>
        <v>0</v>
      </c>
      <c r="X29" s="46">
        <f>$F29</f>
        <v>4</v>
      </c>
      <c r="Y29" s="46">
        <f>$T29</f>
        <v>4</v>
      </c>
    </row>
    <row r="30" spans="1:25" ht="26.4" x14ac:dyDescent="0.3">
      <c r="A30" s="43" t="s">
        <v>226</v>
      </c>
      <c r="B30" s="44">
        <v>3</v>
      </c>
      <c r="C30" s="45" t="s">
        <v>227</v>
      </c>
      <c r="D30" s="46" t="s">
        <v>221</v>
      </c>
      <c r="E30" s="44" t="s">
        <v>216</v>
      </c>
      <c r="F30" s="44">
        <v>4</v>
      </c>
      <c r="G30" s="47">
        <f>IF($F30="","",Dashboard!$B$3+$F30-1)</f>
        <v>46297</v>
      </c>
      <c r="H30" s="47">
        <f>IF($T30="","",Dashboard!$B$3+$T30-1)</f>
        <v>46297</v>
      </c>
      <c r="I30" s="44">
        <v>1</v>
      </c>
      <c r="J30" s="48">
        <v>2</v>
      </c>
      <c r="K30" s="48"/>
      <c r="L30" s="46" t="s">
        <v>165</v>
      </c>
      <c r="M30" s="49">
        <f>IF($L30="Done",1,IF($L30="Doing",0.5,0))</f>
        <v>0</v>
      </c>
      <c r="N30" s="44"/>
      <c r="O30" s="46"/>
      <c r="P30" s="45" t="s">
        <v>228</v>
      </c>
      <c r="Q30" s="45"/>
      <c r="R30" s="43" t="s">
        <v>109</v>
      </c>
      <c r="S30" s="43" t="s">
        <v>42</v>
      </c>
      <c r="T30" s="44">
        <f>$F30+$I30-1</f>
        <v>4</v>
      </c>
      <c r="U30" s="46">
        <f>IF($L30="Deferred",0,$J30)</f>
        <v>2</v>
      </c>
      <c r="V30" s="46">
        <f>IF($L30="Deferred",0,$J30*$M30)</f>
        <v>0</v>
      </c>
      <c r="W30" s="46">
        <f>IF($L30="Deferred",0,N($K30))</f>
        <v>0</v>
      </c>
      <c r="X30" s="46">
        <f>$F30</f>
        <v>4</v>
      </c>
      <c r="Y30" s="46">
        <f>$T30</f>
        <v>4</v>
      </c>
    </row>
    <row r="31" spans="1:25" x14ac:dyDescent="0.3">
      <c r="A31" s="36" t="s">
        <v>110</v>
      </c>
      <c r="B31" s="37">
        <v>2</v>
      </c>
      <c r="C31" s="38" t="s">
        <v>229</v>
      </c>
      <c r="D31" s="39" t="s">
        <v>221</v>
      </c>
      <c r="E31" s="37"/>
      <c r="F31" s="37">
        <f>IFERROR(_xlfn.MINIFS($X$5:$X$144,$R$5:$R$144,$A31,$B$5:$B$144,3),"")</f>
        <v>4</v>
      </c>
      <c r="G31" s="40">
        <f>IF($F31="","",Dashboard!$B$3+$F31-1)</f>
        <v>46297</v>
      </c>
      <c r="H31" s="40">
        <f>IF($T31="","",Dashboard!$B$3+$T31-1)</f>
        <v>46297</v>
      </c>
      <c r="I31" s="37">
        <f>IFERROR($T31-$F31+1,"")</f>
        <v>1</v>
      </c>
      <c r="J31" s="41">
        <f>SUMIFS($U$5:$U$144,$R$5:$R$144,$A31,$B$5:$B$144,3)</f>
        <v>3</v>
      </c>
      <c r="K31" s="41">
        <f>SUMIFS($W$5:$W$144,$R$5:$R$144,$A31,$B$5:$B$144,3)</f>
        <v>0</v>
      </c>
      <c r="L31" s="39"/>
      <c r="M31" s="42">
        <f>IFERROR(SUMIFS($V$5:$V$144,$R$5:$R$144,$A31,$B$5:$B$144,3)/SUMIFS($U$5:$U$144,$R$5:$R$144,$A31,$B$5:$B$144,3),0)</f>
        <v>0</v>
      </c>
      <c r="N31" s="37"/>
      <c r="O31" s="39"/>
      <c r="P31" s="38"/>
      <c r="Q31" s="38"/>
      <c r="R31" s="36" t="s">
        <v>42</v>
      </c>
      <c r="S31" s="36" t="s">
        <v>42</v>
      </c>
      <c r="T31" s="37">
        <f>IFERROR(_xlfn.MAXIFS($Y$5:$Y$144,$R$5:$R$144,$A31,$B$5:$B$144,3),"")</f>
        <v>4</v>
      </c>
      <c r="U31" s="39"/>
      <c r="V31" s="39"/>
      <c r="W31" s="39"/>
      <c r="X31" s="39"/>
      <c r="Y31" s="39"/>
    </row>
    <row r="32" spans="1:25" x14ac:dyDescent="0.3">
      <c r="A32" s="43" t="s">
        <v>230</v>
      </c>
      <c r="B32" s="44">
        <v>3</v>
      </c>
      <c r="C32" s="45" t="s">
        <v>231</v>
      </c>
      <c r="D32" s="46" t="s">
        <v>221</v>
      </c>
      <c r="E32" s="44" t="s">
        <v>216</v>
      </c>
      <c r="F32" s="44">
        <v>4</v>
      </c>
      <c r="G32" s="47">
        <f>IF($F32="","",Dashboard!$B$3+$F32-1)</f>
        <v>46297</v>
      </c>
      <c r="H32" s="47">
        <f>IF($T32="","",Dashboard!$B$3+$T32-1)</f>
        <v>46297</v>
      </c>
      <c r="I32" s="44">
        <v>1</v>
      </c>
      <c r="J32" s="48">
        <v>2</v>
      </c>
      <c r="K32" s="48"/>
      <c r="L32" s="46" t="s">
        <v>165</v>
      </c>
      <c r="M32" s="49">
        <f>IF($L32="Done",1,IF($L32="Doing",0.5,0))</f>
        <v>0</v>
      </c>
      <c r="N32" s="44"/>
      <c r="O32" s="46"/>
      <c r="P32" s="45" t="s">
        <v>232</v>
      </c>
      <c r="Q32" s="45"/>
      <c r="R32" s="43" t="s">
        <v>110</v>
      </c>
      <c r="S32" s="43" t="s">
        <v>42</v>
      </c>
      <c r="T32" s="44">
        <f>$F32+$I32-1</f>
        <v>4</v>
      </c>
      <c r="U32" s="46">
        <f>IF($L32="Deferred",0,$J32)</f>
        <v>2</v>
      </c>
      <c r="V32" s="46">
        <f>IF($L32="Deferred",0,$J32*$M32)</f>
        <v>0</v>
      </c>
      <c r="W32" s="46">
        <f>IF($L32="Deferred",0,N($K32))</f>
        <v>0</v>
      </c>
      <c r="X32" s="46">
        <f>$F32</f>
        <v>4</v>
      </c>
      <c r="Y32" s="46">
        <f>$T32</f>
        <v>4</v>
      </c>
    </row>
    <row r="33" spans="1:25" x14ac:dyDescent="0.3">
      <c r="A33" s="43" t="s">
        <v>233</v>
      </c>
      <c r="B33" s="44">
        <v>3</v>
      </c>
      <c r="C33" s="45" t="s">
        <v>234</v>
      </c>
      <c r="D33" s="46" t="s">
        <v>221</v>
      </c>
      <c r="E33" s="44" t="s">
        <v>216</v>
      </c>
      <c r="F33" s="44">
        <v>4</v>
      </c>
      <c r="G33" s="47">
        <f>IF($F33="","",Dashboard!$B$3+$F33-1)</f>
        <v>46297</v>
      </c>
      <c r="H33" s="47">
        <f>IF($T33="","",Dashboard!$B$3+$T33-1)</f>
        <v>46297</v>
      </c>
      <c r="I33" s="44">
        <v>1</v>
      </c>
      <c r="J33" s="48">
        <v>1</v>
      </c>
      <c r="K33" s="48"/>
      <c r="L33" s="46" t="s">
        <v>165</v>
      </c>
      <c r="M33" s="49">
        <f>IF($L33="Done",1,IF($L33="Doing",0.5,0))</f>
        <v>0</v>
      </c>
      <c r="N33" s="44"/>
      <c r="O33" s="46"/>
      <c r="P33" s="45" t="s">
        <v>235</v>
      </c>
      <c r="Q33" s="45"/>
      <c r="R33" s="43" t="s">
        <v>110</v>
      </c>
      <c r="S33" s="43" t="s">
        <v>42</v>
      </c>
      <c r="T33" s="44">
        <f>$F33+$I33-1</f>
        <v>4</v>
      </c>
      <c r="U33" s="46">
        <f>IF($L33="Deferred",0,$J33)</f>
        <v>1</v>
      </c>
      <c r="V33" s="46">
        <f>IF($L33="Deferred",0,$J33*$M33)</f>
        <v>0</v>
      </c>
      <c r="W33" s="46">
        <f>IF($L33="Deferred",0,N($K33))</f>
        <v>0</v>
      </c>
      <c r="X33" s="46">
        <f>$F33</f>
        <v>4</v>
      </c>
      <c r="Y33" s="46">
        <f>$T33</f>
        <v>4</v>
      </c>
    </row>
    <row r="34" spans="1:25" x14ac:dyDescent="0.3">
      <c r="A34" s="36" t="s">
        <v>111</v>
      </c>
      <c r="B34" s="37">
        <v>2</v>
      </c>
      <c r="C34" s="38" t="s">
        <v>236</v>
      </c>
      <c r="D34" s="39" t="s">
        <v>221</v>
      </c>
      <c r="E34" s="37"/>
      <c r="F34" s="37">
        <f>IFERROR(_xlfn.MINIFS($X$5:$X$144,$R$5:$R$144,$A34,$B$5:$B$144,3),"")</f>
        <v>5</v>
      </c>
      <c r="G34" s="40">
        <f>IF($F34="","",Dashboard!$B$3+$F34-1)</f>
        <v>46298</v>
      </c>
      <c r="H34" s="40">
        <f>IF($T34="","",Dashboard!$B$3+$T34-1)</f>
        <v>46298</v>
      </c>
      <c r="I34" s="37">
        <f>IFERROR($T34-$F34+1,"")</f>
        <v>1</v>
      </c>
      <c r="J34" s="41">
        <f>SUMIFS($U$5:$U$144,$R$5:$R$144,$A34,$B$5:$B$144,3)</f>
        <v>5</v>
      </c>
      <c r="K34" s="41">
        <f>SUMIFS($W$5:$W$144,$R$5:$R$144,$A34,$B$5:$B$144,3)</f>
        <v>0</v>
      </c>
      <c r="L34" s="39"/>
      <c r="M34" s="42">
        <f>IFERROR(SUMIFS($V$5:$V$144,$R$5:$R$144,$A34,$B$5:$B$144,3)/SUMIFS($U$5:$U$144,$R$5:$R$144,$A34,$B$5:$B$144,3),0)</f>
        <v>0</v>
      </c>
      <c r="N34" s="37"/>
      <c r="O34" s="39"/>
      <c r="P34" s="38"/>
      <c r="Q34" s="38"/>
      <c r="R34" s="36" t="s">
        <v>42</v>
      </c>
      <c r="S34" s="36" t="s">
        <v>42</v>
      </c>
      <c r="T34" s="37">
        <f>IFERROR(_xlfn.MAXIFS($Y$5:$Y$144,$R$5:$R$144,$A34,$B$5:$B$144,3),"")</f>
        <v>5</v>
      </c>
      <c r="U34" s="39"/>
      <c r="V34" s="39"/>
      <c r="W34" s="39"/>
      <c r="X34" s="39"/>
      <c r="Y34" s="39"/>
    </row>
    <row r="35" spans="1:25" x14ac:dyDescent="0.3">
      <c r="A35" s="43" t="s">
        <v>237</v>
      </c>
      <c r="B35" s="44">
        <v>3</v>
      </c>
      <c r="C35" s="45" t="s">
        <v>238</v>
      </c>
      <c r="D35" s="46" t="s">
        <v>221</v>
      </c>
      <c r="E35" s="44" t="s">
        <v>239</v>
      </c>
      <c r="F35" s="44">
        <v>5</v>
      </c>
      <c r="G35" s="47">
        <f>IF($F35="","",Dashboard!$B$3+$F35-1)</f>
        <v>46298</v>
      </c>
      <c r="H35" s="47">
        <f>IF($T35="","",Dashboard!$B$3+$T35-1)</f>
        <v>46298</v>
      </c>
      <c r="I35" s="44">
        <v>1</v>
      </c>
      <c r="J35" s="48">
        <v>2.5</v>
      </c>
      <c r="K35" s="48"/>
      <c r="L35" s="46" t="s">
        <v>165</v>
      </c>
      <c r="M35" s="49">
        <f>IF($L35="Done",1,IF($L35="Doing",0.5,0))</f>
        <v>0</v>
      </c>
      <c r="N35" s="44"/>
      <c r="O35" s="46"/>
      <c r="P35" s="45" t="s">
        <v>240</v>
      </c>
      <c r="Q35" s="45"/>
      <c r="R35" s="43" t="s">
        <v>111</v>
      </c>
      <c r="S35" s="43" t="s">
        <v>42</v>
      </c>
      <c r="T35" s="44">
        <f>$F35+$I35-1</f>
        <v>5</v>
      </c>
      <c r="U35" s="46">
        <f>IF($L35="Deferred",0,$J35)</f>
        <v>2.5</v>
      </c>
      <c r="V35" s="46">
        <f>IF($L35="Deferred",0,$J35*$M35)</f>
        <v>0</v>
      </c>
      <c r="W35" s="46">
        <f>IF($L35="Deferred",0,N($K35))</f>
        <v>0</v>
      </c>
      <c r="X35" s="46">
        <f>$F35</f>
        <v>5</v>
      </c>
      <c r="Y35" s="46">
        <f>$T35</f>
        <v>5</v>
      </c>
    </row>
    <row r="36" spans="1:25" x14ac:dyDescent="0.3">
      <c r="A36" s="43" t="s">
        <v>241</v>
      </c>
      <c r="B36" s="44">
        <v>3</v>
      </c>
      <c r="C36" s="45" t="s">
        <v>242</v>
      </c>
      <c r="D36" s="46" t="s">
        <v>221</v>
      </c>
      <c r="E36" s="44" t="s">
        <v>239</v>
      </c>
      <c r="F36" s="44">
        <v>5</v>
      </c>
      <c r="G36" s="47">
        <f>IF($F36="","",Dashboard!$B$3+$F36-1)</f>
        <v>46298</v>
      </c>
      <c r="H36" s="47">
        <f>IF($T36="","",Dashboard!$B$3+$T36-1)</f>
        <v>46298</v>
      </c>
      <c r="I36" s="44">
        <v>1</v>
      </c>
      <c r="J36" s="48">
        <v>1.5</v>
      </c>
      <c r="K36" s="48"/>
      <c r="L36" s="46" t="s">
        <v>165</v>
      </c>
      <c r="M36" s="49">
        <f>IF($L36="Done",1,IF($L36="Doing",0.5,0))</f>
        <v>0</v>
      </c>
      <c r="N36" s="44"/>
      <c r="O36" s="46"/>
      <c r="P36" s="45" t="s">
        <v>243</v>
      </c>
      <c r="Q36" s="45"/>
      <c r="R36" s="43" t="s">
        <v>111</v>
      </c>
      <c r="S36" s="43" t="s">
        <v>42</v>
      </c>
      <c r="T36" s="44">
        <f>$F36+$I36-1</f>
        <v>5</v>
      </c>
      <c r="U36" s="46">
        <f>IF($L36="Deferred",0,$J36)</f>
        <v>1.5</v>
      </c>
      <c r="V36" s="46">
        <f>IF($L36="Deferred",0,$J36*$M36)</f>
        <v>0</v>
      </c>
      <c r="W36" s="46">
        <f>IF($L36="Deferred",0,N($K36))</f>
        <v>0</v>
      </c>
      <c r="X36" s="46">
        <f>$F36</f>
        <v>5</v>
      </c>
      <c r="Y36" s="46">
        <f>$T36</f>
        <v>5</v>
      </c>
    </row>
    <row r="37" spans="1:25" x14ac:dyDescent="0.3">
      <c r="A37" s="43" t="s">
        <v>244</v>
      </c>
      <c r="B37" s="44">
        <v>3</v>
      </c>
      <c r="C37" s="45" t="s">
        <v>245</v>
      </c>
      <c r="D37" s="46" t="s">
        <v>221</v>
      </c>
      <c r="E37" s="44" t="s">
        <v>239</v>
      </c>
      <c r="F37" s="44">
        <v>5</v>
      </c>
      <c r="G37" s="47">
        <f>IF($F37="","",Dashboard!$B$3+$F37-1)</f>
        <v>46298</v>
      </c>
      <c r="H37" s="47">
        <f>IF($T37="","",Dashboard!$B$3+$T37-1)</f>
        <v>46298</v>
      </c>
      <c r="I37" s="44">
        <v>1</v>
      </c>
      <c r="J37" s="48">
        <v>1</v>
      </c>
      <c r="K37" s="48"/>
      <c r="L37" s="46" t="s">
        <v>165</v>
      </c>
      <c r="M37" s="49">
        <f>IF($L37="Done",1,IF($L37="Doing",0.5,0))</f>
        <v>0</v>
      </c>
      <c r="N37" s="44"/>
      <c r="O37" s="46"/>
      <c r="P37" s="45" t="s">
        <v>246</v>
      </c>
      <c r="Q37" s="45"/>
      <c r="R37" s="43" t="s">
        <v>111</v>
      </c>
      <c r="S37" s="43" t="s">
        <v>42</v>
      </c>
      <c r="T37" s="44">
        <f>$F37+$I37-1</f>
        <v>5</v>
      </c>
      <c r="U37" s="46">
        <f>IF($L37="Deferred",0,$J37)</f>
        <v>1</v>
      </c>
      <c r="V37" s="46">
        <f>IF($L37="Deferred",0,$J37*$M37)</f>
        <v>0</v>
      </c>
      <c r="W37" s="46">
        <f>IF($L37="Deferred",0,N($K37))</f>
        <v>0</v>
      </c>
      <c r="X37" s="46">
        <f>$F37</f>
        <v>5</v>
      </c>
      <c r="Y37" s="46">
        <f>$T37</f>
        <v>5</v>
      </c>
    </row>
    <row r="38" spans="1:25" x14ac:dyDescent="0.3">
      <c r="A38" s="36" t="s">
        <v>112</v>
      </c>
      <c r="B38" s="37">
        <v>2</v>
      </c>
      <c r="C38" s="38" t="s">
        <v>247</v>
      </c>
      <c r="D38" s="39" t="s">
        <v>221</v>
      </c>
      <c r="E38" s="37"/>
      <c r="F38" s="37">
        <f>IFERROR(_xlfn.MINIFS($X$5:$X$144,$R$5:$R$144,$A38,$B$5:$B$144,3),"")</f>
        <v>5</v>
      </c>
      <c r="G38" s="40">
        <f>IF($F38="","",Dashboard!$B$3+$F38-1)</f>
        <v>46298</v>
      </c>
      <c r="H38" s="40">
        <f>IF($T38="","",Dashboard!$B$3+$T38-1)</f>
        <v>46298</v>
      </c>
      <c r="I38" s="37">
        <f>IFERROR($T38-$F38+1,"")</f>
        <v>1</v>
      </c>
      <c r="J38" s="41">
        <f>SUMIFS($U$5:$U$144,$R$5:$R$144,$A38,$B$5:$B$144,3)</f>
        <v>3</v>
      </c>
      <c r="K38" s="41">
        <f>SUMIFS($W$5:$W$144,$R$5:$R$144,$A38,$B$5:$B$144,3)</f>
        <v>0</v>
      </c>
      <c r="L38" s="39"/>
      <c r="M38" s="42">
        <f>IFERROR(SUMIFS($V$5:$V$144,$R$5:$R$144,$A38,$B$5:$B$144,3)/SUMIFS($U$5:$U$144,$R$5:$R$144,$A38,$B$5:$B$144,3),0)</f>
        <v>0</v>
      </c>
      <c r="N38" s="37"/>
      <c r="O38" s="39"/>
      <c r="P38" s="38"/>
      <c r="Q38" s="38"/>
      <c r="R38" s="36" t="s">
        <v>42</v>
      </c>
      <c r="S38" s="36" t="s">
        <v>42</v>
      </c>
      <c r="T38" s="37">
        <f>IFERROR(_xlfn.MAXIFS($Y$5:$Y$144,$R$5:$R$144,$A38,$B$5:$B$144,3),"")</f>
        <v>5</v>
      </c>
      <c r="U38" s="39"/>
      <c r="V38" s="39"/>
      <c r="W38" s="39"/>
      <c r="X38" s="39"/>
      <c r="Y38" s="39"/>
    </row>
    <row r="39" spans="1:25" x14ac:dyDescent="0.3">
      <c r="A39" s="43" t="s">
        <v>248</v>
      </c>
      <c r="B39" s="44">
        <v>3</v>
      </c>
      <c r="C39" s="45" t="s">
        <v>249</v>
      </c>
      <c r="D39" s="46" t="s">
        <v>221</v>
      </c>
      <c r="E39" s="44" t="s">
        <v>250</v>
      </c>
      <c r="F39" s="44">
        <v>5</v>
      </c>
      <c r="G39" s="47">
        <f>IF($F39="","",Dashboard!$B$3+$F39-1)</f>
        <v>46298</v>
      </c>
      <c r="H39" s="47">
        <f>IF($T39="","",Dashboard!$B$3+$T39-1)</f>
        <v>46298</v>
      </c>
      <c r="I39" s="44">
        <v>1</v>
      </c>
      <c r="J39" s="48">
        <v>2</v>
      </c>
      <c r="K39" s="48"/>
      <c r="L39" s="46" t="s">
        <v>165</v>
      </c>
      <c r="M39" s="49">
        <f>IF($L39="Done",1,IF($L39="Doing",0.5,0))</f>
        <v>0</v>
      </c>
      <c r="N39" s="44"/>
      <c r="O39" s="46"/>
      <c r="P39" s="45" t="s">
        <v>251</v>
      </c>
      <c r="Q39" s="45"/>
      <c r="R39" s="43" t="s">
        <v>112</v>
      </c>
      <c r="S39" s="43" t="s">
        <v>42</v>
      </c>
      <c r="T39" s="44">
        <f>$F39+$I39-1</f>
        <v>5</v>
      </c>
      <c r="U39" s="46">
        <f>IF($L39="Deferred",0,$J39)</f>
        <v>2</v>
      </c>
      <c r="V39" s="46">
        <f>IF($L39="Deferred",0,$J39*$M39)</f>
        <v>0</v>
      </c>
      <c r="W39" s="46">
        <f>IF($L39="Deferred",0,N($K39))</f>
        <v>0</v>
      </c>
      <c r="X39" s="46">
        <f>$F39</f>
        <v>5</v>
      </c>
      <c r="Y39" s="46">
        <f>$T39</f>
        <v>5</v>
      </c>
    </row>
    <row r="40" spans="1:25" x14ac:dyDescent="0.3">
      <c r="A40" s="43" t="s">
        <v>252</v>
      </c>
      <c r="B40" s="44">
        <v>3</v>
      </c>
      <c r="C40" s="45" t="s">
        <v>253</v>
      </c>
      <c r="D40" s="46" t="s">
        <v>221</v>
      </c>
      <c r="E40" s="44" t="s">
        <v>250</v>
      </c>
      <c r="F40" s="44">
        <v>5</v>
      </c>
      <c r="G40" s="47">
        <f>IF($F40="","",Dashboard!$B$3+$F40-1)</f>
        <v>46298</v>
      </c>
      <c r="H40" s="47">
        <f>IF($T40="","",Dashboard!$B$3+$T40-1)</f>
        <v>46298</v>
      </c>
      <c r="I40" s="44">
        <v>1</v>
      </c>
      <c r="J40" s="48">
        <v>1</v>
      </c>
      <c r="K40" s="48"/>
      <c r="L40" s="46" t="s">
        <v>165</v>
      </c>
      <c r="M40" s="49">
        <f>IF($L40="Done",1,IF($L40="Doing",0.5,0))</f>
        <v>0</v>
      </c>
      <c r="N40" s="44"/>
      <c r="O40" s="46"/>
      <c r="P40" s="45" t="s">
        <v>254</v>
      </c>
      <c r="Q40" s="45"/>
      <c r="R40" s="43" t="s">
        <v>112</v>
      </c>
      <c r="S40" s="43" t="s">
        <v>42</v>
      </c>
      <c r="T40" s="44">
        <f>$F40+$I40-1</f>
        <v>5</v>
      </c>
      <c r="U40" s="46">
        <f>IF($L40="Deferred",0,$J40)</f>
        <v>1</v>
      </c>
      <c r="V40" s="46">
        <f>IF($L40="Deferred",0,$J40*$M40)</f>
        <v>0</v>
      </c>
      <c r="W40" s="46">
        <f>IF($L40="Deferred",0,N($K40))</f>
        <v>0</v>
      </c>
      <c r="X40" s="46">
        <f>$F40</f>
        <v>5</v>
      </c>
      <c r="Y40" s="46">
        <f>$T40</f>
        <v>5</v>
      </c>
    </row>
    <row r="41" spans="1:25" x14ac:dyDescent="0.3">
      <c r="A41" s="29" t="s">
        <v>44</v>
      </c>
      <c r="B41" s="30">
        <v>1</v>
      </c>
      <c r="C41" s="31" t="s">
        <v>255</v>
      </c>
      <c r="D41" s="32" t="s">
        <v>255</v>
      </c>
      <c r="E41" s="30"/>
      <c r="F41" s="30">
        <f>IFERROR(_xlfn.MINIFS($X$5:$X$144,$S$5:$S$144,$A41,$B$5:$B$144,3),"")</f>
        <v>6</v>
      </c>
      <c r="G41" s="33">
        <f>IF($F41="","",Dashboard!$B$3+$F41-1)</f>
        <v>46299</v>
      </c>
      <c r="H41" s="33">
        <f>IF($T41="","",Dashboard!$B$3+$T41-1)</f>
        <v>46300</v>
      </c>
      <c r="I41" s="30">
        <f>IFERROR($T41-$F41+1,"")</f>
        <v>2</v>
      </c>
      <c r="J41" s="34">
        <f>SUMIFS($U$5:$U$144,$S$5:$S$144,$A41,$B$5:$B$144,3)</f>
        <v>17</v>
      </c>
      <c r="K41" s="34">
        <f>SUMIFS($W$5:$W$144,$S$5:$S$144,$A41,$B$5:$B$144,3)</f>
        <v>0</v>
      </c>
      <c r="L41" s="32"/>
      <c r="M41" s="35">
        <f>IFERROR(SUMIFS($V$5:$V$144,$S$5:$S$144,$A41,$B$5:$B$144,3)/SUMIFS($U$5:$U$144,$S$5:$S$144,$A41,$B$5:$B$144,3),0)</f>
        <v>0</v>
      </c>
      <c r="N41" s="30"/>
      <c r="O41" s="32"/>
      <c r="P41" s="31"/>
      <c r="Q41" s="31"/>
      <c r="R41" s="29"/>
      <c r="S41" s="29"/>
      <c r="T41" s="30">
        <f>IFERROR(_xlfn.MAXIFS($Y$5:$Y$144,$S$5:$S$144,$A41,$B$5:$B$144,3),"")</f>
        <v>7</v>
      </c>
      <c r="U41" s="32"/>
      <c r="V41" s="32"/>
      <c r="W41" s="32"/>
      <c r="X41" s="32"/>
      <c r="Y41" s="32"/>
    </row>
    <row r="42" spans="1:25" x14ac:dyDescent="0.3">
      <c r="A42" s="36" t="s">
        <v>113</v>
      </c>
      <c r="B42" s="37">
        <v>2</v>
      </c>
      <c r="C42" s="38" t="s">
        <v>256</v>
      </c>
      <c r="D42" s="39" t="s">
        <v>255</v>
      </c>
      <c r="E42" s="37"/>
      <c r="F42" s="37">
        <f>IFERROR(_xlfn.MINIFS($X$5:$X$144,$R$5:$R$144,$A42,$B$5:$B$144,3),"")</f>
        <v>6</v>
      </c>
      <c r="G42" s="40">
        <f>IF($F42="","",Dashboard!$B$3+$F42-1)</f>
        <v>46299</v>
      </c>
      <c r="H42" s="40">
        <f>IF($T42="","",Dashboard!$B$3+$T42-1)</f>
        <v>46299</v>
      </c>
      <c r="I42" s="37">
        <f>IFERROR($T42-$F42+1,"")</f>
        <v>1</v>
      </c>
      <c r="J42" s="41">
        <f>SUMIFS($U$5:$U$144,$R$5:$R$144,$A42,$B$5:$B$144,3)</f>
        <v>5</v>
      </c>
      <c r="K42" s="41">
        <f>SUMIFS($W$5:$W$144,$R$5:$R$144,$A42,$B$5:$B$144,3)</f>
        <v>0</v>
      </c>
      <c r="L42" s="39"/>
      <c r="M42" s="42">
        <f>IFERROR(SUMIFS($V$5:$V$144,$R$5:$R$144,$A42,$B$5:$B$144,3)/SUMIFS($U$5:$U$144,$R$5:$R$144,$A42,$B$5:$B$144,3),0)</f>
        <v>0</v>
      </c>
      <c r="N42" s="37"/>
      <c r="O42" s="39"/>
      <c r="P42" s="38"/>
      <c r="Q42" s="38"/>
      <c r="R42" s="36" t="s">
        <v>44</v>
      </c>
      <c r="S42" s="36" t="s">
        <v>44</v>
      </c>
      <c r="T42" s="37">
        <f>IFERROR(_xlfn.MAXIFS($Y$5:$Y$144,$R$5:$R$144,$A42,$B$5:$B$144,3),"")</f>
        <v>6</v>
      </c>
      <c r="U42" s="39"/>
      <c r="V42" s="39"/>
      <c r="W42" s="39"/>
      <c r="X42" s="39"/>
      <c r="Y42" s="39"/>
    </row>
    <row r="43" spans="1:25" x14ac:dyDescent="0.3">
      <c r="A43" s="43" t="s">
        <v>257</v>
      </c>
      <c r="B43" s="44">
        <v>3</v>
      </c>
      <c r="C43" s="45" t="s">
        <v>258</v>
      </c>
      <c r="D43" s="46" t="s">
        <v>255</v>
      </c>
      <c r="E43" s="44" t="s">
        <v>259</v>
      </c>
      <c r="F43" s="44">
        <v>6</v>
      </c>
      <c r="G43" s="47">
        <f>IF($F43="","",Dashboard!$B$3+$F43-1)</f>
        <v>46299</v>
      </c>
      <c r="H43" s="47">
        <f>IF($T43="","",Dashboard!$B$3+$T43-1)</f>
        <v>46299</v>
      </c>
      <c r="I43" s="44">
        <v>1</v>
      </c>
      <c r="J43" s="48">
        <v>1.5</v>
      </c>
      <c r="K43" s="48"/>
      <c r="L43" s="46" t="s">
        <v>165</v>
      </c>
      <c r="M43" s="49">
        <f>IF($L43="Done",1,IF($L43="Doing",0.5,0))</f>
        <v>0</v>
      </c>
      <c r="N43" s="44"/>
      <c r="O43" s="46"/>
      <c r="P43" s="45" t="s">
        <v>260</v>
      </c>
      <c r="Q43" s="45"/>
      <c r="R43" s="43" t="s">
        <v>113</v>
      </c>
      <c r="S43" s="43" t="s">
        <v>44</v>
      </c>
      <c r="T43" s="44">
        <f>$F43+$I43-1</f>
        <v>6</v>
      </c>
      <c r="U43" s="46">
        <f>IF($L43="Deferred",0,$J43)</f>
        <v>1.5</v>
      </c>
      <c r="V43" s="46">
        <f>IF($L43="Deferred",0,$J43*$M43)</f>
        <v>0</v>
      </c>
      <c r="W43" s="46">
        <f>IF($L43="Deferred",0,N($K43))</f>
        <v>0</v>
      </c>
      <c r="X43" s="46">
        <f>$F43</f>
        <v>6</v>
      </c>
      <c r="Y43" s="46">
        <f>$T43</f>
        <v>6</v>
      </c>
    </row>
    <row r="44" spans="1:25" x14ac:dyDescent="0.3">
      <c r="A44" s="43" t="s">
        <v>261</v>
      </c>
      <c r="B44" s="44">
        <v>3</v>
      </c>
      <c r="C44" s="45" t="s">
        <v>262</v>
      </c>
      <c r="D44" s="46" t="s">
        <v>255</v>
      </c>
      <c r="E44" s="44" t="s">
        <v>259</v>
      </c>
      <c r="F44" s="44">
        <v>6</v>
      </c>
      <c r="G44" s="47">
        <f>IF($F44="","",Dashboard!$B$3+$F44-1)</f>
        <v>46299</v>
      </c>
      <c r="H44" s="47">
        <f>IF($T44="","",Dashboard!$B$3+$T44-1)</f>
        <v>46299</v>
      </c>
      <c r="I44" s="44">
        <v>1</v>
      </c>
      <c r="J44" s="48">
        <v>2</v>
      </c>
      <c r="K44" s="48"/>
      <c r="L44" s="46" t="s">
        <v>165</v>
      </c>
      <c r="M44" s="49">
        <f>IF($L44="Done",1,IF($L44="Doing",0.5,0))</f>
        <v>0</v>
      </c>
      <c r="N44" s="44"/>
      <c r="O44" s="46"/>
      <c r="P44" s="45" t="s">
        <v>263</v>
      </c>
      <c r="Q44" s="45"/>
      <c r="R44" s="43" t="s">
        <v>113</v>
      </c>
      <c r="S44" s="43" t="s">
        <v>44</v>
      </c>
      <c r="T44" s="44">
        <f>$F44+$I44-1</f>
        <v>6</v>
      </c>
      <c r="U44" s="46">
        <f>IF($L44="Deferred",0,$J44)</f>
        <v>2</v>
      </c>
      <c r="V44" s="46">
        <f>IF($L44="Deferred",0,$J44*$M44)</f>
        <v>0</v>
      </c>
      <c r="W44" s="46">
        <f>IF($L44="Deferred",0,N($K44))</f>
        <v>0</v>
      </c>
      <c r="X44" s="46">
        <f>$F44</f>
        <v>6</v>
      </c>
      <c r="Y44" s="46">
        <f>$T44</f>
        <v>6</v>
      </c>
    </row>
    <row r="45" spans="1:25" x14ac:dyDescent="0.3">
      <c r="A45" s="43" t="s">
        <v>264</v>
      </c>
      <c r="B45" s="44">
        <v>3</v>
      </c>
      <c r="C45" s="45" t="s">
        <v>265</v>
      </c>
      <c r="D45" s="46" t="s">
        <v>255</v>
      </c>
      <c r="E45" s="44" t="s">
        <v>259</v>
      </c>
      <c r="F45" s="44">
        <v>6</v>
      </c>
      <c r="G45" s="47">
        <f>IF($F45="","",Dashboard!$B$3+$F45-1)</f>
        <v>46299</v>
      </c>
      <c r="H45" s="47">
        <f>IF($T45="","",Dashboard!$B$3+$T45-1)</f>
        <v>46299</v>
      </c>
      <c r="I45" s="44">
        <v>1</v>
      </c>
      <c r="J45" s="48">
        <v>1.5</v>
      </c>
      <c r="K45" s="48"/>
      <c r="L45" s="46" t="s">
        <v>165</v>
      </c>
      <c r="M45" s="49">
        <f>IF($L45="Done",1,IF($L45="Doing",0.5,0))</f>
        <v>0</v>
      </c>
      <c r="N45" s="44"/>
      <c r="O45" s="46"/>
      <c r="P45" s="45" t="s">
        <v>266</v>
      </c>
      <c r="Q45" s="45"/>
      <c r="R45" s="43" t="s">
        <v>113</v>
      </c>
      <c r="S45" s="43" t="s">
        <v>44</v>
      </c>
      <c r="T45" s="44">
        <f>$F45+$I45-1</f>
        <v>6</v>
      </c>
      <c r="U45" s="46">
        <f>IF($L45="Deferred",0,$J45)</f>
        <v>1.5</v>
      </c>
      <c r="V45" s="46">
        <f>IF($L45="Deferred",0,$J45*$M45)</f>
        <v>0</v>
      </c>
      <c r="W45" s="46">
        <f>IF($L45="Deferred",0,N($K45))</f>
        <v>0</v>
      </c>
      <c r="X45" s="46">
        <f>$F45</f>
        <v>6</v>
      </c>
      <c r="Y45" s="46">
        <f>$T45</f>
        <v>6</v>
      </c>
    </row>
    <row r="46" spans="1:25" x14ac:dyDescent="0.3">
      <c r="A46" s="36" t="s">
        <v>114</v>
      </c>
      <c r="B46" s="37">
        <v>2</v>
      </c>
      <c r="C46" s="38" t="s">
        <v>267</v>
      </c>
      <c r="D46" s="39" t="s">
        <v>255</v>
      </c>
      <c r="E46" s="37"/>
      <c r="F46" s="37">
        <f>IFERROR(_xlfn.MINIFS($X$5:$X$144,$R$5:$R$144,$A46,$B$5:$B$144,3),"")</f>
        <v>6</v>
      </c>
      <c r="G46" s="40">
        <f>IF($F46="","",Dashboard!$B$3+$F46-1)</f>
        <v>46299</v>
      </c>
      <c r="H46" s="40">
        <f>IF($T46="","",Dashboard!$B$3+$T46-1)</f>
        <v>46299</v>
      </c>
      <c r="I46" s="37">
        <f>IFERROR($T46-$F46+1,"")</f>
        <v>1</v>
      </c>
      <c r="J46" s="41">
        <f>SUMIFS($U$5:$U$144,$R$5:$R$144,$A46,$B$5:$B$144,3)</f>
        <v>1.5</v>
      </c>
      <c r="K46" s="41">
        <f>SUMIFS($W$5:$W$144,$R$5:$R$144,$A46,$B$5:$B$144,3)</f>
        <v>0</v>
      </c>
      <c r="L46" s="39"/>
      <c r="M46" s="42">
        <f>IFERROR(SUMIFS($V$5:$V$144,$R$5:$R$144,$A46,$B$5:$B$144,3)/SUMIFS($U$5:$U$144,$R$5:$R$144,$A46,$B$5:$B$144,3),0)</f>
        <v>0</v>
      </c>
      <c r="N46" s="37"/>
      <c r="O46" s="39"/>
      <c r="P46" s="38"/>
      <c r="Q46" s="38"/>
      <c r="R46" s="36" t="s">
        <v>44</v>
      </c>
      <c r="S46" s="36" t="s">
        <v>44</v>
      </c>
      <c r="T46" s="37">
        <f>IFERROR(_xlfn.MAXIFS($Y$5:$Y$144,$R$5:$R$144,$A46,$B$5:$B$144,3),"")</f>
        <v>6</v>
      </c>
      <c r="U46" s="39"/>
      <c r="V46" s="39"/>
      <c r="W46" s="39"/>
      <c r="X46" s="39"/>
      <c r="Y46" s="39"/>
    </row>
    <row r="47" spans="1:25" x14ac:dyDescent="0.3">
      <c r="A47" s="43" t="s">
        <v>268</v>
      </c>
      <c r="B47" s="44">
        <v>3</v>
      </c>
      <c r="C47" s="45" t="s">
        <v>269</v>
      </c>
      <c r="D47" s="46" t="s">
        <v>255</v>
      </c>
      <c r="E47" s="44" t="s">
        <v>259</v>
      </c>
      <c r="F47" s="44">
        <v>6</v>
      </c>
      <c r="G47" s="47">
        <f>IF($F47="","",Dashboard!$B$3+$F47-1)</f>
        <v>46299</v>
      </c>
      <c r="H47" s="47">
        <f>IF($T47="","",Dashboard!$B$3+$T47-1)</f>
        <v>46299</v>
      </c>
      <c r="I47" s="44">
        <v>1</v>
      </c>
      <c r="J47" s="48">
        <v>1.5</v>
      </c>
      <c r="K47" s="48"/>
      <c r="L47" s="46" t="s">
        <v>165</v>
      </c>
      <c r="M47" s="49">
        <f>IF($L47="Done",1,IF($L47="Doing",0.5,0))</f>
        <v>0</v>
      </c>
      <c r="N47" s="44"/>
      <c r="O47" s="46"/>
      <c r="P47" s="45" t="s">
        <v>270</v>
      </c>
      <c r="Q47" s="45"/>
      <c r="R47" s="43" t="s">
        <v>114</v>
      </c>
      <c r="S47" s="43" t="s">
        <v>44</v>
      </c>
      <c r="T47" s="44">
        <f>$F47+$I47-1</f>
        <v>6</v>
      </c>
      <c r="U47" s="46">
        <f>IF($L47="Deferred",0,$J47)</f>
        <v>1.5</v>
      </c>
      <c r="V47" s="46">
        <f>IF($L47="Deferred",0,$J47*$M47)</f>
        <v>0</v>
      </c>
      <c r="W47" s="46">
        <f>IF($L47="Deferred",0,N($K47))</f>
        <v>0</v>
      </c>
      <c r="X47" s="46">
        <f>$F47</f>
        <v>6</v>
      </c>
      <c r="Y47" s="46">
        <f>$T47</f>
        <v>6</v>
      </c>
    </row>
    <row r="48" spans="1:25" x14ac:dyDescent="0.3">
      <c r="A48" s="36" t="s">
        <v>115</v>
      </c>
      <c r="B48" s="37">
        <v>2</v>
      </c>
      <c r="C48" s="38" t="s">
        <v>271</v>
      </c>
      <c r="D48" s="39" t="s">
        <v>255</v>
      </c>
      <c r="E48" s="37"/>
      <c r="F48" s="37">
        <f>IFERROR(_xlfn.MINIFS($X$5:$X$144,$R$5:$R$144,$A48,$B$5:$B$144,3),"")</f>
        <v>7</v>
      </c>
      <c r="G48" s="40">
        <f>IF($F48="","",Dashboard!$B$3+$F48-1)</f>
        <v>46300</v>
      </c>
      <c r="H48" s="40">
        <f>IF($T48="","",Dashboard!$B$3+$T48-1)</f>
        <v>46300</v>
      </c>
      <c r="I48" s="37">
        <f>IFERROR($T48-$F48+1,"")</f>
        <v>1</v>
      </c>
      <c r="J48" s="41">
        <f>SUMIFS($U$5:$U$144,$R$5:$R$144,$A48,$B$5:$B$144,3)</f>
        <v>6</v>
      </c>
      <c r="K48" s="41">
        <f>SUMIFS($W$5:$W$144,$R$5:$R$144,$A48,$B$5:$B$144,3)</f>
        <v>0</v>
      </c>
      <c r="L48" s="39"/>
      <c r="M48" s="42">
        <f>IFERROR(SUMIFS($V$5:$V$144,$R$5:$R$144,$A48,$B$5:$B$144,3)/SUMIFS($U$5:$U$144,$R$5:$R$144,$A48,$B$5:$B$144,3),0)</f>
        <v>0</v>
      </c>
      <c r="N48" s="37"/>
      <c r="O48" s="39"/>
      <c r="P48" s="38"/>
      <c r="Q48" s="38"/>
      <c r="R48" s="36" t="s">
        <v>44</v>
      </c>
      <c r="S48" s="36" t="s">
        <v>44</v>
      </c>
      <c r="T48" s="37">
        <f>IFERROR(_xlfn.MAXIFS($Y$5:$Y$144,$R$5:$R$144,$A48,$B$5:$B$144,3),"")</f>
        <v>7</v>
      </c>
      <c r="U48" s="39"/>
      <c r="V48" s="39"/>
      <c r="W48" s="39"/>
      <c r="X48" s="39"/>
      <c r="Y48" s="39"/>
    </row>
    <row r="49" spans="1:25" x14ac:dyDescent="0.3">
      <c r="A49" s="43" t="s">
        <v>272</v>
      </c>
      <c r="B49" s="44">
        <v>3</v>
      </c>
      <c r="C49" s="45" t="s">
        <v>273</v>
      </c>
      <c r="D49" s="46" t="s">
        <v>255</v>
      </c>
      <c r="E49" s="44" t="s">
        <v>259</v>
      </c>
      <c r="F49" s="44">
        <v>7</v>
      </c>
      <c r="G49" s="47">
        <f>IF($F49="","",Dashboard!$B$3+$F49-1)</f>
        <v>46300</v>
      </c>
      <c r="H49" s="47">
        <f>IF($T49="","",Dashboard!$B$3+$T49-1)</f>
        <v>46300</v>
      </c>
      <c r="I49" s="44">
        <v>1</v>
      </c>
      <c r="J49" s="48">
        <v>2.5</v>
      </c>
      <c r="K49" s="48"/>
      <c r="L49" s="46" t="s">
        <v>165</v>
      </c>
      <c r="M49" s="49">
        <f>IF($L49="Done",1,IF($L49="Doing",0.5,0))</f>
        <v>0</v>
      </c>
      <c r="N49" s="44"/>
      <c r="O49" s="46"/>
      <c r="P49" s="45" t="s">
        <v>274</v>
      </c>
      <c r="Q49" s="45"/>
      <c r="R49" s="43" t="s">
        <v>115</v>
      </c>
      <c r="S49" s="43" t="s">
        <v>44</v>
      </c>
      <c r="T49" s="44">
        <f>$F49+$I49-1</f>
        <v>7</v>
      </c>
      <c r="U49" s="46">
        <f>IF($L49="Deferred",0,$J49)</f>
        <v>2.5</v>
      </c>
      <c r="V49" s="46">
        <f>IF($L49="Deferred",0,$J49*$M49)</f>
        <v>0</v>
      </c>
      <c r="W49" s="46">
        <f>IF($L49="Deferred",0,N($K49))</f>
        <v>0</v>
      </c>
      <c r="X49" s="46">
        <f>$F49</f>
        <v>7</v>
      </c>
      <c r="Y49" s="46">
        <f>$T49</f>
        <v>7</v>
      </c>
    </row>
    <row r="50" spans="1:25" x14ac:dyDescent="0.3">
      <c r="A50" s="43" t="s">
        <v>275</v>
      </c>
      <c r="B50" s="44">
        <v>3</v>
      </c>
      <c r="C50" s="45" t="s">
        <v>276</v>
      </c>
      <c r="D50" s="46" t="s">
        <v>255</v>
      </c>
      <c r="E50" s="44" t="s">
        <v>259</v>
      </c>
      <c r="F50" s="44">
        <v>7</v>
      </c>
      <c r="G50" s="47">
        <f>IF($F50="","",Dashboard!$B$3+$F50-1)</f>
        <v>46300</v>
      </c>
      <c r="H50" s="47">
        <f>IF($T50="","",Dashboard!$B$3+$T50-1)</f>
        <v>46300</v>
      </c>
      <c r="I50" s="44">
        <v>1</v>
      </c>
      <c r="J50" s="48">
        <v>2.5</v>
      </c>
      <c r="K50" s="48"/>
      <c r="L50" s="46" t="s">
        <v>165</v>
      </c>
      <c r="M50" s="49">
        <f>IF($L50="Done",1,IF($L50="Doing",0.5,0))</f>
        <v>0</v>
      </c>
      <c r="N50" s="44"/>
      <c r="O50" s="46"/>
      <c r="P50" s="45" t="s">
        <v>277</v>
      </c>
      <c r="Q50" s="45"/>
      <c r="R50" s="43" t="s">
        <v>115</v>
      </c>
      <c r="S50" s="43" t="s">
        <v>44</v>
      </c>
      <c r="T50" s="44">
        <f>$F50+$I50-1</f>
        <v>7</v>
      </c>
      <c r="U50" s="46">
        <f>IF($L50="Deferred",0,$J50)</f>
        <v>2.5</v>
      </c>
      <c r="V50" s="46">
        <f>IF($L50="Deferred",0,$J50*$M50)</f>
        <v>0</v>
      </c>
      <c r="W50" s="46">
        <f>IF($L50="Deferred",0,N($K50))</f>
        <v>0</v>
      </c>
      <c r="X50" s="46">
        <f>$F50</f>
        <v>7</v>
      </c>
      <c r="Y50" s="46">
        <f>$T50</f>
        <v>7</v>
      </c>
    </row>
    <row r="51" spans="1:25" x14ac:dyDescent="0.3">
      <c r="A51" s="43" t="s">
        <v>278</v>
      </c>
      <c r="B51" s="44">
        <v>3</v>
      </c>
      <c r="C51" s="45" t="s">
        <v>279</v>
      </c>
      <c r="D51" s="46" t="s">
        <v>255</v>
      </c>
      <c r="E51" s="44" t="s">
        <v>259</v>
      </c>
      <c r="F51" s="44">
        <v>7</v>
      </c>
      <c r="G51" s="47">
        <f>IF($F51="","",Dashboard!$B$3+$F51-1)</f>
        <v>46300</v>
      </c>
      <c r="H51" s="47">
        <f>IF($T51="","",Dashboard!$B$3+$T51-1)</f>
        <v>46300</v>
      </c>
      <c r="I51" s="44">
        <v>1</v>
      </c>
      <c r="J51" s="48">
        <v>1</v>
      </c>
      <c r="K51" s="48"/>
      <c r="L51" s="46" t="s">
        <v>165</v>
      </c>
      <c r="M51" s="49">
        <f>IF($L51="Done",1,IF($L51="Doing",0.5,0))</f>
        <v>0</v>
      </c>
      <c r="N51" s="44"/>
      <c r="O51" s="46"/>
      <c r="P51" s="45" t="s">
        <v>280</v>
      </c>
      <c r="Q51" s="45"/>
      <c r="R51" s="43" t="s">
        <v>115</v>
      </c>
      <c r="S51" s="43" t="s">
        <v>44</v>
      </c>
      <c r="T51" s="44">
        <f>$F51+$I51-1</f>
        <v>7</v>
      </c>
      <c r="U51" s="46">
        <f>IF($L51="Deferred",0,$J51)</f>
        <v>1</v>
      </c>
      <c r="V51" s="46">
        <f>IF($L51="Deferred",0,$J51*$M51)</f>
        <v>0</v>
      </c>
      <c r="W51" s="46">
        <f>IF($L51="Deferred",0,N($K51))</f>
        <v>0</v>
      </c>
      <c r="X51" s="46">
        <f>$F51</f>
        <v>7</v>
      </c>
      <c r="Y51" s="46">
        <f>$T51</f>
        <v>7</v>
      </c>
    </row>
    <row r="52" spans="1:25" x14ac:dyDescent="0.3">
      <c r="A52" s="36" t="s">
        <v>116</v>
      </c>
      <c r="B52" s="37">
        <v>2</v>
      </c>
      <c r="C52" s="38" t="s">
        <v>281</v>
      </c>
      <c r="D52" s="39" t="s">
        <v>255</v>
      </c>
      <c r="E52" s="37"/>
      <c r="F52" s="37">
        <f>IFERROR(_xlfn.MINIFS($X$5:$X$144,$R$5:$R$144,$A52,$B$5:$B$144,3),"")</f>
        <v>6</v>
      </c>
      <c r="G52" s="40">
        <f>IF($F52="","",Dashboard!$B$3+$F52-1)</f>
        <v>46299</v>
      </c>
      <c r="H52" s="40">
        <f>IF($T52="","",Dashboard!$B$3+$T52-1)</f>
        <v>46300</v>
      </c>
      <c r="I52" s="37">
        <f>IFERROR($T52-$F52+1,"")</f>
        <v>2</v>
      </c>
      <c r="J52" s="41">
        <f>SUMIFS($U$5:$U$144,$R$5:$R$144,$A52,$B$5:$B$144,3)</f>
        <v>4.5</v>
      </c>
      <c r="K52" s="41">
        <f>SUMIFS($W$5:$W$144,$R$5:$R$144,$A52,$B$5:$B$144,3)</f>
        <v>0</v>
      </c>
      <c r="L52" s="39"/>
      <c r="M52" s="42">
        <f>IFERROR(SUMIFS($V$5:$V$144,$R$5:$R$144,$A52,$B$5:$B$144,3)/SUMIFS($U$5:$U$144,$R$5:$R$144,$A52,$B$5:$B$144,3),0)</f>
        <v>0</v>
      </c>
      <c r="N52" s="37"/>
      <c r="O52" s="39"/>
      <c r="P52" s="38"/>
      <c r="Q52" s="38"/>
      <c r="R52" s="36" t="s">
        <v>44</v>
      </c>
      <c r="S52" s="36" t="s">
        <v>44</v>
      </c>
      <c r="T52" s="37">
        <f>IFERROR(_xlfn.MAXIFS($Y$5:$Y$144,$R$5:$R$144,$A52,$B$5:$B$144,3),"")</f>
        <v>7</v>
      </c>
      <c r="U52" s="39"/>
      <c r="V52" s="39"/>
      <c r="W52" s="39"/>
      <c r="X52" s="39"/>
      <c r="Y52" s="39"/>
    </row>
    <row r="53" spans="1:25" x14ac:dyDescent="0.3">
      <c r="A53" s="43" t="s">
        <v>282</v>
      </c>
      <c r="B53" s="44">
        <v>3</v>
      </c>
      <c r="C53" s="45" t="s">
        <v>283</v>
      </c>
      <c r="D53" s="46" t="s">
        <v>255</v>
      </c>
      <c r="E53" s="44" t="s">
        <v>284</v>
      </c>
      <c r="F53" s="44">
        <v>6</v>
      </c>
      <c r="G53" s="47">
        <f>IF($F53="","",Dashboard!$B$3+$F53-1)</f>
        <v>46299</v>
      </c>
      <c r="H53" s="47">
        <f>IF($T53="","",Dashboard!$B$3+$T53-1)</f>
        <v>46299</v>
      </c>
      <c r="I53" s="44">
        <v>1</v>
      </c>
      <c r="J53" s="48">
        <v>1.5</v>
      </c>
      <c r="K53" s="48"/>
      <c r="L53" s="46" t="s">
        <v>165</v>
      </c>
      <c r="M53" s="49">
        <f>IF($L53="Done",1,IF($L53="Doing",0.5,0))</f>
        <v>0</v>
      </c>
      <c r="N53" s="44"/>
      <c r="O53" s="46"/>
      <c r="P53" s="45" t="s">
        <v>285</v>
      </c>
      <c r="Q53" s="45"/>
      <c r="R53" s="43" t="s">
        <v>116</v>
      </c>
      <c r="S53" s="43" t="s">
        <v>44</v>
      </c>
      <c r="T53" s="44">
        <f>$F53+$I53-1</f>
        <v>6</v>
      </c>
      <c r="U53" s="46">
        <f>IF($L53="Deferred",0,$J53)</f>
        <v>1.5</v>
      </c>
      <c r="V53" s="46">
        <f>IF($L53="Deferred",0,$J53*$M53)</f>
        <v>0</v>
      </c>
      <c r="W53" s="46">
        <f>IF($L53="Deferred",0,N($K53))</f>
        <v>0</v>
      </c>
      <c r="X53" s="46">
        <f>$F53</f>
        <v>6</v>
      </c>
      <c r="Y53" s="46">
        <f>$T53</f>
        <v>6</v>
      </c>
    </row>
    <row r="54" spans="1:25" x14ac:dyDescent="0.3">
      <c r="A54" s="43" t="s">
        <v>286</v>
      </c>
      <c r="B54" s="44">
        <v>3</v>
      </c>
      <c r="C54" s="45" t="s">
        <v>287</v>
      </c>
      <c r="D54" s="46" t="s">
        <v>255</v>
      </c>
      <c r="E54" s="44" t="s">
        <v>288</v>
      </c>
      <c r="F54" s="44">
        <v>6</v>
      </c>
      <c r="G54" s="47">
        <f>IF($F54="","",Dashboard!$B$3+$F54-1)</f>
        <v>46299</v>
      </c>
      <c r="H54" s="47">
        <f>IF($T54="","",Dashboard!$B$3+$T54-1)</f>
        <v>46299</v>
      </c>
      <c r="I54" s="44">
        <v>1</v>
      </c>
      <c r="J54" s="48">
        <v>1</v>
      </c>
      <c r="K54" s="48"/>
      <c r="L54" s="46" t="s">
        <v>165</v>
      </c>
      <c r="M54" s="49">
        <f>IF($L54="Done",1,IF($L54="Doing",0.5,0))</f>
        <v>0</v>
      </c>
      <c r="N54" s="44"/>
      <c r="O54" s="46"/>
      <c r="P54" s="45" t="s">
        <v>289</v>
      </c>
      <c r="Q54" s="45"/>
      <c r="R54" s="43" t="s">
        <v>116</v>
      </c>
      <c r="S54" s="43" t="s">
        <v>44</v>
      </c>
      <c r="T54" s="44">
        <f>$F54+$I54-1</f>
        <v>6</v>
      </c>
      <c r="U54" s="46">
        <f>IF($L54="Deferred",0,$J54)</f>
        <v>1</v>
      </c>
      <c r="V54" s="46">
        <f>IF($L54="Deferred",0,$J54*$M54)</f>
        <v>0</v>
      </c>
      <c r="W54" s="46">
        <f>IF($L54="Deferred",0,N($K54))</f>
        <v>0</v>
      </c>
      <c r="X54" s="46">
        <f>$F54</f>
        <v>6</v>
      </c>
      <c r="Y54" s="46">
        <f>$T54</f>
        <v>6</v>
      </c>
    </row>
    <row r="55" spans="1:25" x14ac:dyDescent="0.3">
      <c r="A55" s="43" t="s">
        <v>290</v>
      </c>
      <c r="B55" s="44">
        <v>3</v>
      </c>
      <c r="C55" s="45" t="s">
        <v>291</v>
      </c>
      <c r="D55" s="46" t="s">
        <v>255</v>
      </c>
      <c r="E55" s="44" t="s">
        <v>288</v>
      </c>
      <c r="F55" s="44">
        <v>7</v>
      </c>
      <c r="G55" s="47">
        <f>IF($F55="","",Dashboard!$B$3+$F55-1)</f>
        <v>46300</v>
      </c>
      <c r="H55" s="47">
        <f>IF($T55="","",Dashboard!$B$3+$T55-1)</f>
        <v>46300</v>
      </c>
      <c r="I55" s="44">
        <v>1</v>
      </c>
      <c r="J55" s="48">
        <v>2</v>
      </c>
      <c r="K55" s="48"/>
      <c r="L55" s="46" t="s">
        <v>165</v>
      </c>
      <c r="M55" s="49">
        <f>IF($L55="Done",1,IF($L55="Doing",0.5,0))</f>
        <v>0</v>
      </c>
      <c r="N55" s="44" t="s">
        <v>68</v>
      </c>
      <c r="O55" s="46"/>
      <c r="P55" s="45" t="s">
        <v>292</v>
      </c>
      <c r="Q55" s="45"/>
      <c r="R55" s="43" t="s">
        <v>116</v>
      </c>
      <c r="S55" s="43" t="s">
        <v>44</v>
      </c>
      <c r="T55" s="44">
        <f>$F55+$I55-1</f>
        <v>7</v>
      </c>
      <c r="U55" s="46">
        <f>IF($L55="Deferred",0,$J55)</f>
        <v>2</v>
      </c>
      <c r="V55" s="46">
        <f>IF($L55="Deferred",0,$J55*$M55)</f>
        <v>0</v>
      </c>
      <c r="W55" s="46">
        <f>IF($L55="Deferred",0,N($K55))</f>
        <v>0</v>
      </c>
      <c r="X55" s="46">
        <f>$F55</f>
        <v>7</v>
      </c>
      <c r="Y55" s="46">
        <f>$T55</f>
        <v>7</v>
      </c>
    </row>
    <row r="56" spans="1:25" x14ac:dyDescent="0.3">
      <c r="A56" s="29" t="s">
        <v>46</v>
      </c>
      <c r="B56" s="30">
        <v>1</v>
      </c>
      <c r="C56" s="31" t="s">
        <v>293</v>
      </c>
      <c r="D56" s="32" t="s">
        <v>293</v>
      </c>
      <c r="E56" s="30"/>
      <c r="F56" s="30">
        <f>IFERROR(_xlfn.MINIFS($X$5:$X$144,$S$5:$S$144,$A56,$B$5:$B$144,3),"")</f>
        <v>8</v>
      </c>
      <c r="G56" s="33">
        <f>IF($F56="","",Dashboard!$B$3+$F56-1)</f>
        <v>46301</v>
      </c>
      <c r="H56" s="33">
        <f>IF($T56="","",Dashboard!$B$3+$T56-1)</f>
        <v>46302</v>
      </c>
      <c r="I56" s="30">
        <f>IFERROR($T56-$F56+1,"")</f>
        <v>2</v>
      </c>
      <c r="J56" s="34">
        <f>SUMIFS($U$5:$U$144,$S$5:$S$144,$A56,$B$5:$B$144,3)</f>
        <v>16</v>
      </c>
      <c r="K56" s="34">
        <f>SUMIFS($W$5:$W$144,$S$5:$S$144,$A56,$B$5:$B$144,3)</f>
        <v>0</v>
      </c>
      <c r="L56" s="32"/>
      <c r="M56" s="35">
        <f>IFERROR(SUMIFS($V$5:$V$144,$S$5:$S$144,$A56,$B$5:$B$144,3)/SUMIFS($U$5:$U$144,$S$5:$S$144,$A56,$B$5:$B$144,3),0)</f>
        <v>0</v>
      </c>
      <c r="N56" s="30"/>
      <c r="O56" s="32"/>
      <c r="P56" s="31"/>
      <c r="Q56" s="31"/>
      <c r="R56" s="29"/>
      <c r="S56" s="29"/>
      <c r="T56" s="30">
        <f>IFERROR(_xlfn.MAXIFS($Y$5:$Y$144,$S$5:$S$144,$A56,$B$5:$B$144,3),"")</f>
        <v>9</v>
      </c>
      <c r="U56" s="32"/>
      <c r="V56" s="32"/>
      <c r="W56" s="32"/>
      <c r="X56" s="32"/>
      <c r="Y56" s="32"/>
    </row>
    <row r="57" spans="1:25" x14ac:dyDescent="0.3">
      <c r="A57" s="36" t="s">
        <v>117</v>
      </c>
      <c r="B57" s="37">
        <v>2</v>
      </c>
      <c r="C57" s="38" t="s">
        <v>294</v>
      </c>
      <c r="D57" s="39" t="s">
        <v>293</v>
      </c>
      <c r="E57" s="37"/>
      <c r="F57" s="37">
        <f>IFERROR(_xlfn.MINIFS($X$5:$X$144,$R$5:$R$144,$A57,$B$5:$B$144,3),"")</f>
        <v>8</v>
      </c>
      <c r="G57" s="40">
        <f>IF($F57="","",Dashboard!$B$3+$F57-1)</f>
        <v>46301</v>
      </c>
      <c r="H57" s="40">
        <f>IF($T57="","",Dashboard!$B$3+$T57-1)</f>
        <v>46301</v>
      </c>
      <c r="I57" s="37">
        <f>IFERROR($T57-$F57+1,"")</f>
        <v>1</v>
      </c>
      <c r="J57" s="41">
        <f>SUMIFS($U$5:$U$144,$R$5:$R$144,$A57,$B$5:$B$144,3)</f>
        <v>4</v>
      </c>
      <c r="K57" s="41">
        <f>SUMIFS($W$5:$W$144,$R$5:$R$144,$A57,$B$5:$B$144,3)</f>
        <v>0</v>
      </c>
      <c r="L57" s="39"/>
      <c r="M57" s="42">
        <f>IFERROR(SUMIFS($V$5:$V$144,$R$5:$R$144,$A57,$B$5:$B$144,3)/SUMIFS($U$5:$U$144,$R$5:$R$144,$A57,$B$5:$B$144,3),0)</f>
        <v>0</v>
      </c>
      <c r="N57" s="37"/>
      <c r="O57" s="39"/>
      <c r="P57" s="38"/>
      <c r="Q57" s="38"/>
      <c r="R57" s="36" t="s">
        <v>46</v>
      </c>
      <c r="S57" s="36" t="s">
        <v>46</v>
      </c>
      <c r="T57" s="37">
        <f>IFERROR(_xlfn.MAXIFS($Y$5:$Y$144,$R$5:$R$144,$A57,$B$5:$B$144,3),"")</f>
        <v>8</v>
      </c>
      <c r="U57" s="39"/>
      <c r="V57" s="39"/>
      <c r="W57" s="39"/>
      <c r="X57" s="39"/>
      <c r="Y57" s="39"/>
    </row>
    <row r="58" spans="1:25" x14ac:dyDescent="0.3">
      <c r="A58" s="43" t="s">
        <v>295</v>
      </c>
      <c r="B58" s="44">
        <v>3</v>
      </c>
      <c r="C58" s="45" t="s">
        <v>296</v>
      </c>
      <c r="D58" s="46" t="s">
        <v>293</v>
      </c>
      <c r="E58" s="44" t="s">
        <v>259</v>
      </c>
      <c r="F58" s="44">
        <v>8</v>
      </c>
      <c r="G58" s="47">
        <f>IF($F58="","",Dashboard!$B$3+$F58-1)</f>
        <v>46301</v>
      </c>
      <c r="H58" s="47">
        <f>IF($T58="","",Dashboard!$B$3+$T58-1)</f>
        <v>46301</v>
      </c>
      <c r="I58" s="44">
        <v>1</v>
      </c>
      <c r="J58" s="48">
        <v>2</v>
      </c>
      <c r="K58" s="48"/>
      <c r="L58" s="46" t="s">
        <v>165</v>
      </c>
      <c r="M58" s="49">
        <f>IF($L58="Done",1,IF($L58="Doing",0.5,0))</f>
        <v>0</v>
      </c>
      <c r="N58" s="44"/>
      <c r="O58" s="46"/>
      <c r="P58" s="45" t="s">
        <v>297</v>
      </c>
      <c r="Q58" s="45"/>
      <c r="R58" s="43" t="s">
        <v>117</v>
      </c>
      <c r="S58" s="43" t="s">
        <v>46</v>
      </c>
      <c r="T58" s="44">
        <f>$F58+$I58-1</f>
        <v>8</v>
      </c>
      <c r="U58" s="46">
        <f>IF($L58="Deferred",0,$J58)</f>
        <v>2</v>
      </c>
      <c r="V58" s="46">
        <f>IF($L58="Deferred",0,$J58*$M58)</f>
        <v>0</v>
      </c>
      <c r="W58" s="46">
        <f>IF($L58="Deferred",0,N($K58))</f>
        <v>0</v>
      </c>
      <c r="X58" s="46">
        <f>$F58</f>
        <v>8</v>
      </c>
      <c r="Y58" s="46">
        <f>$T58</f>
        <v>8</v>
      </c>
    </row>
    <row r="59" spans="1:25" ht="26.4" x14ac:dyDescent="0.3">
      <c r="A59" s="43" t="s">
        <v>298</v>
      </c>
      <c r="B59" s="44">
        <v>3</v>
      </c>
      <c r="C59" s="45" t="s">
        <v>299</v>
      </c>
      <c r="D59" s="46" t="s">
        <v>293</v>
      </c>
      <c r="E59" s="44" t="s">
        <v>259</v>
      </c>
      <c r="F59" s="44">
        <v>8</v>
      </c>
      <c r="G59" s="47">
        <f>IF($F59="","",Dashboard!$B$3+$F59-1)</f>
        <v>46301</v>
      </c>
      <c r="H59" s="47">
        <f>IF($T59="","",Dashboard!$B$3+$T59-1)</f>
        <v>46301</v>
      </c>
      <c r="I59" s="44">
        <v>1</v>
      </c>
      <c r="J59" s="48">
        <v>2</v>
      </c>
      <c r="K59" s="48"/>
      <c r="L59" s="46" t="s">
        <v>165</v>
      </c>
      <c r="M59" s="49">
        <f>IF($L59="Done",1,IF($L59="Doing",0.5,0))</f>
        <v>0</v>
      </c>
      <c r="N59" s="44"/>
      <c r="O59" s="46"/>
      <c r="P59" s="45" t="s">
        <v>300</v>
      </c>
      <c r="Q59" s="45"/>
      <c r="R59" s="43" t="s">
        <v>117</v>
      </c>
      <c r="S59" s="43" t="s">
        <v>46</v>
      </c>
      <c r="T59" s="44">
        <f>$F59+$I59-1</f>
        <v>8</v>
      </c>
      <c r="U59" s="46">
        <f>IF($L59="Deferred",0,$J59)</f>
        <v>2</v>
      </c>
      <c r="V59" s="46">
        <f>IF($L59="Deferred",0,$J59*$M59)</f>
        <v>0</v>
      </c>
      <c r="W59" s="46">
        <f>IF($L59="Deferred",0,N($K59))</f>
        <v>0</v>
      </c>
      <c r="X59" s="46">
        <f>$F59</f>
        <v>8</v>
      </c>
      <c r="Y59" s="46">
        <f>$T59</f>
        <v>8</v>
      </c>
    </row>
    <row r="60" spans="1:25" x14ac:dyDescent="0.3">
      <c r="A60" s="36" t="s">
        <v>118</v>
      </c>
      <c r="B60" s="37">
        <v>2</v>
      </c>
      <c r="C60" s="38" t="s">
        <v>301</v>
      </c>
      <c r="D60" s="39" t="s">
        <v>293</v>
      </c>
      <c r="E60" s="37"/>
      <c r="F60" s="37">
        <f>IFERROR(_xlfn.MINIFS($X$5:$X$144,$R$5:$R$144,$A60,$B$5:$B$144,3),"")</f>
        <v>8</v>
      </c>
      <c r="G60" s="40">
        <f>IF($F60="","",Dashboard!$B$3+$F60-1)</f>
        <v>46301</v>
      </c>
      <c r="H60" s="40">
        <f>IF($T60="","",Dashboard!$B$3+$T60-1)</f>
        <v>46301</v>
      </c>
      <c r="I60" s="37">
        <f>IFERROR($T60-$F60+1,"")</f>
        <v>1</v>
      </c>
      <c r="J60" s="41">
        <f>SUMIFS($U$5:$U$144,$R$5:$R$144,$A60,$B$5:$B$144,3)</f>
        <v>3</v>
      </c>
      <c r="K60" s="41">
        <f>SUMIFS($W$5:$W$144,$R$5:$R$144,$A60,$B$5:$B$144,3)</f>
        <v>0</v>
      </c>
      <c r="L60" s="39"/>
      <c r="M60" s="42">
        <f>IFERROR(SUMIFS($V$5:$V$144,$R$5:$R$144,$A60,$B$5:$B$144,3)/SUMIFS($U$5:$U$144,$R$5:$R$144,$A60,$B$5:$B$144,3),0)</f>
        <v>0</v>
      </c>
      <c r="N60" s="37"/>
      <c r="O60" s="39"/>
      <c r="P60" s="38"/>
      <c r="Q60" s="38"/>
      <c r="R60" s="36" t="s">
        <v>46</v>
      </c>
      <c r="S60" s="36" t="s">
        <v>46</v>
      </c>
      <c r="T60" s="37">
        <f>IFERROR(_xlfn.MAXIFS($Y$5:$Y$144,$R$5:$R$144,$A60,$B$5:$B$144,3),"")</f>
        <v>8</v>
      </c>
      <c r="U60" s="39"/>
      <c r="V60" s="39"/>
      <c r="W60" s="39"/>
      <c r="X60" s="39"/>
      <c r="Y60" s="39"/>
    </row>
    <row r="61" spans="1:25" x14ac:dyDescent="0.3">
      <c r="A61" s="43" t="s">
        <v>302</v>
      </c>
      <c r="B61" s="44">
        <v>3</v>
      </c>
      <c r="C61" s="45" t="s">
        <v>303</v>
      </c>
      <c r="D61" s="46" t="s">
        <v>293</v>
      </c>
      <c r="E61" s="44" t="s">
        <v>259</v>
      </c>
      <c r="F61" s="44">
        <v>8</v>
      </c>
      <c r="G61" s="47">
        <f>IF($F61="","",Dashboard!$B$3+$F61-1)</f>
        <v>46301</v>
      </c>
      <c r="H61" s="47">
        <f>IF($T61="","",Dashboard!$B$3+$T61-1)</f>
        <v>46301</v>
      </c>
      <c r="I61" s="44">
        <v>1</v>
      </c>
      <c r="J61" s="48">
        <v>2</v>
      </c>
      <c r="K61" s="48"/>
      <c r="L61" s="46" t="s">
        <v>165</v>
      </c>
      <c r="M61" s="49">
        <f>IF($L61="Done",1,IF($L61="Doing",0.5,0))</f>
        <v>0</v>
      </c>
      <c r="N61" s="44"/>
      <c r="O61" s="46"/>
      <c r="P61" s="45" t="s">
        <v>304</v>
      </c>
      <c r="Q61" s="45"/>
      <c r="R61" s="43" t="s">
        <v>118</v>
      </c>
      <c r="S61" s="43" t="s">
        <v>46</v>
      </c>
      <c r="T61" s="44">
        <f>$F61+$I61-1</f>
        <v>8</v>
      </c>
      <c r="U61" s="46">
        <f>IF($L61="Deferred",0,$J61)</f>
        <v>2</v>
      </c>
      <c r="V61" s="46">
        <f>IF($L61="Deferred",0,$J61*$M61)</f>
        <v>0</v>
      </c>
      <c r="W61" s="46">
        <f>IF($L61="Deferred",0,N($K61))</f>
        <v>0</v>
      </c>
      <c r="X61" s="46">
        <f>$F61</f>
        <v>8</v>
      </c>
      <c r="Y61" s="46">
        <f>$T61</f>
        <v>8</v>
      </c>
    </row>
    <row r="62" spans="1:25" x14ac:dyDescent="0.3">
      <c r="A62" s="43" t="s">
        <v>305</v>
      </c>
      <c r="B62" s="44">
        <v>3</v>
      </c>
      <c r="C62" s="45" t="s">
        <v>306</v>
      </c>
      <c r="D62" s="46" t="s">
        <v>293</v>
      </c>
      <c r="E62" s="44" t="s">
        <v>259</v>
      </c>
      <c r="F62" s="44">
        <v>8</v>
      </c>
      <c r="G62" s="47">
        <f>IF($F62="","",Dashboard!$B$3+$F62-1)</f>
        <v>46301</v>
      </c>
      <c r="H62" s="47">
        <f>IF($T62="","",Dashboard!$B$3+$T62-1)</f>
        <v>46301</v>
      </c>
      <c r="I62" s="44">
        <v>1</v>
      </c>
      <c r="J62" s="48">
        <v>1</v>
      </c>
      <c r="K62" s="48"/>
      <c r="L62" s="46" t="s">
        <v>165</v>
      </c>
      <c r="M62" s="49">
        <f>IF($L62="Done",1,IF($L62="Doing",0.5,0))</f>
        <v>0</v>
      </c>
      <c r="N62" s="44"/>
      <c r="O62" s="46"/>
      <c r="P62" s="45" t="s">
        <v>307</v>
      </c>
      <c r="Q62" s="45"/>
      <c r="R62" s="43" t="s">
        <v>118</v>
      </c>
      <c r="S62" s="43" t="s">
        <v>46</v>
      </c>
      <c r="T62" s="44">
        <f>$F62+$I62-1</f>
        <v>8</v>
      </c>
      <c r="U62" s="46">
        <f>IF($L62="Deferred",0,$J62)</f>
        <v>1</v>
      </c>
      <c r="V62" s="46">
        <f>IF($L62="Deferred",0,$J62*$M62)</f>
        <v>0</v>
      </c>
      <c r="W62" s="46">
        <f>IF($L62="Deferred",0,N($K62))</f>
        <v>0</v>
      </c>
      <c r="X62" s="46">
        <f>$F62</f>
        <v>8</v>
      </c>
      <c r="Y62" s="46">
        <f>$T62</f>
        <v>8</v>
      </c>
    </row>
    <row r="63" spans="1:25" x14ac:dyDescent="0.3">
      <c r="A63" s="36" t="s">
        <v>119</v>
      </c>
      <c r="B63" s="37">
        <v>2</v>
      </c>
      <c r="C63" s="38" t="s">
        <v>308</v>
      </c>
      <c r="D63" s="39" t="s">
        <v>293</v>
      </c>
      <c r="E63" s="37"/>
      <c r="F63" s="37">
        <f>IFERROR(_xlfn.MINIFS($X$5:$X$144,$R$5:$R$144,$A63,$B$5:$B$144,3),"")</f>
        <v>9</v>
      </c>
      <c r="G63" s="40">
        <f>IF($F63="","",Dashboard!$B$3+$F63-1)</f>
        <v>46302</v>
      </c>
      <c r="H63" s="40">
        <f>IF($T63="","",Dashboard!$B$3+$T63-1)</f>
        <v>46302</v>
      </c>
      <c r="I63" s="37">
        <f>IFERROR($T63-$F63+1,"")</f>
        <v>1</v>
      </c>
      <c r="J63" s="41">
        <f>SUMIFS($U$5:$U$144,$R$5:$R$144,$A63,$B$5:$B$144,3)</f>
        <v>4</v>
      </c>
      <c r="K63" s="41">
        <f>SUMIFS($W$5:$W$144,$R$5:$R$144,$A63,$B$5:$B$144,3)</f>
        <v>0</v>
      </c>
      <c r="L63" s="39"/>
      <c r="M63" s="42">
        <f>IFERROR(SUMIFS($V$5:$V$144,$R$5:$R$144,$A63,$B$5:$B$144,3)/SUMIFS($U$5:$U$144,$R$5:$R$144,$A63,$B$5:$B$144,3),0)</f>
        <v>0</v>
      </c>
      <c r="N63" s="37"/>
      <c r="O63" s="39"/>
      <c r="P63" s="38"/>
      <c r="Q63" s="38"/>
      <c r="R63" s="36" t="s">
        <v>46</v>
      </c>
      <c r="S63" s="36" t="s">
        <v>46</v>
      </c>
      <c r="T63" s="37">
        <f>IFERROR(_xlfn.MAXIFS($Y$5:$Y$144,$R$5:$R$144,$A63,$B$5:$B$144,3),"")</f>
        <v>9</v>
      </c>
      <c r="U63" s="39"/>
      <c r="V63" s="39"/>
      <c r="W63" s="39"/>
      <c r="X63" s="39"/>
      <c r="Y63" s="39"/>
    </row>
    <row r="64" spans="1:25" x14ac:dyDescent="0.3">
      <c r="A64" s="43" t="s">
        <v>309</v>
      </c>
      <c r="B64" s="44">
        <v>3</v>
      </c>
      <c r="C64" s="45" t="s">
        <v>310</v>
      </c>
      <c r="D64" s="46" t="s">
        <v>293</v>
      </c>
      <c r="E64" s="44" t="s">
        <v>259</v>
      </c>
      <c r="F64" s="44">
        <v>9</v>
      </c>
      <c r="G64" s="47">
        <f>IF($F64="","",Dashboard!$B$3+$F64-1)</f>
        <v>46302</v>
      </c>
      <c r="H64" s="47">
        <f>IF($T64="","",Dashboard!$B$3+$T64-1)</f>
        <v>46302</v>
      </c>
      <c r="I64" s="44">
        <v>1</v>
      </c>
      <c r="J64" s="48">
        <v>3</v>
      </c>
      <c r="K64" s="48"/>
      <c r="L64" s="46" t="s">
        <v>165</v>
      </c>
      <c r="M64" s="49">
        <f>IF($L64="Done",1,IF($L64="Doing",0.5,0))</f>
        <v>0</v>
      </c>
      <c r="N64" s="44"/>
      <c r="O64" s="46"/>
      <c r="P64" s="45" t="s">
        <v>311</v>
      </c>
      <c r="Q64" s="45"/>
      <c r="R64" s="43" t="s">
        <v>119</v>
      </c>
      <c r="S64" s="43" t="s">
        <v>46</v>
      </c>
      <c r="T64" s="44">
        <f>$F64+$I64-1</f>
        <v>9</v>
      </c>
      <c r="U64" s="46">
        <f>IF($L64="Deferred",0,$J64)</f>
        <v>3</v>
      </c>
      <c r="V64" s="46">
        <f>IF($L64="Deferred",0,$J64*$M64)</f>
        <v>0</v>
      </c>
      <c r="W64" s="46">
        <f>IF($L64="Deferred",0,N($K64))</f>
        <v>0</v>
      </c>
      <c r="X64" s="46">
        <f>$F64</f>
        <v>9</v>
      </c>
      <c r="Y64" s="46">
        <f>$T64</f>
        <v>9</v>
      </c>
    </row>
    <row r="65" spans="1:25" x14ac:dyDescent="0.3">
      <c r="A65" s="43" t="s">
        <v>312</v>
      </c>
      <c r="B65" s="44">
        <v>3</v>
      </c>
      <c r="C65" s="45" t="s">
        <v>313</v>
      </c>
      <c r="D65" s="46" t="s">
        <v>293</v>
      </c>
      <c r="E65" s="44" t="s">
        <v>259</v>
      </c>
      <c r="F65" s="44">
        <v>9</v>
      </c>
      <c r="G65" s="47">
        <f>IF($F65="","",Dashboard!$B$3+$F65-1)</f>
        <v>46302</v>
      </c>
      <c r="H65" s="47">
        <f>IF($T65="","",Dashboard!$B$3+$T65-1)</f>
        <v>46302</v>
      </c>
      <c r="I65" s="44">
        <v>1</v>
      </c>
      <c r="J65" s="48">
        <v>1</v>
      </c>
      <c r="K65" s="48"/>
      <c r="L65" s="46" t="s">
        <v>165</v>
      </c>
      <c r="M65" s="49">
        <f>IF($L65="Done",1,IF($L65="Doing",0.5,0))</f>
        <v>0</v>
      </c>
      <c r="N65" s="44"/>
      <c r="O65" s="46"/>
      <c r="P65" s="45" t="s">
        <v>314</v>
      </c>
      <c r="Q65" s="45"/>
      <c r="R65" s="43" t="s">
        <v>119</v>
      </c>
      <c r="S65" s="43" t="s">
        <v>46</v>
      </c>
      <c r="T65" s="44">
        <f>$F65+$I65-1</f>
        <v>9</v>
      </c>
      <c r="U65" s="46">
        <f>IF($L65="Deferred",0,$J65)</f>
        <v>1</v>
      </c>
      <c r="V65" s="46">
        <f>IF($L65="Deferred",0,$J65*$M65)</f>
        <v>0</v>
      </c>
      <c r="W65" s="46">
        <f>IF($L65="Deferred",0,N($K65))</f>
        <v>0</v>
      </c>
      <c r="X65" s="46">
        <f>$F65</f>
        <v>9</v>
      </c>
      <c r="Y65" s="46">
        <f>$T65</f>
        <v>9</v>
      </c>
    </row>
    <row r="66" spans="1:25" x14ac:dyDescent="0.3">
      <c r="A66" s="36" t="s">
        <v>120</v>
      </c>
      <c r="B66" s="37">
        <v>2</v>
      </c>
      <c r="C66" s="38" t="s">
        <v>315</v>
      </c>
      <c r="D66" s="39" t="s">
        <v>293</v>
      </c>
      <c r="E66" s="37"/>
      <c r="F66" s="37">
        <f>IFERROR(_xlfn.MINIFS($X$5:$X$144,$R$5:$R$144,$A66,$B$5:$B$144,3),"")</f>
        <v>9</v>
      </c>
      <c r="G66" s="40">
        <f>IF($F66="","",Dashboard!$B$3+$F66-1)</f>
        <v>46302</v>
      </c>
      <c r="H66" s="40">
        <f>IF($T66="","",Dashboard!$B$3+$T66-1)</f>
        <v>46302</v>
      </c>
      <c r="I66" s="37">
        <f>IFERROR($T66-$F66+1,"")</f>
        <v>1</v>
      </c>
      <c r="J66" s="41">
        <f>SUMIFS($U$5:$U$144,$R$5:$R$144,$A66,$B$5:$B$144,3)</f>
        <v>4</v>
      </c>
      <c r="K66" s="41">
        <f>SUMIFS($W$5:$W$144,$R$5:$R$144,$A66,$B$5:$B$144,3)</f>
        <v>0</v>
      </c>
      <c r="L66" s="39"/>
      <c r="M66" s="42">
        <f>IFERROR(SUMIFS($V$5:$V$144,$R$5:$R$144,$A66,$B$5:$B$144,3)/SUMIFS($U$5:$U$144,$R$5:$R$144,$A66,$B$5:$B$144,3),0)</f>
        <v>0</v>
      </c>
      <c r="N66" s="37"/>
      <c r="O66" s="39"/>
      <c r="P66" s="38"/>
      <c r="Q66" s="38"/>
      <c r="R66" s="36" t="s">
        <v>46</v>
      </c>
      <c r="S66" s="36" t="s">
        <v>46</v>
      </c>
      <c r="T66" s="37">
        <f>IFERROR(_xlfn.MAXIFS($Y$5:$Y$144,$R$5:$R$144,$A66,$B$5:$B$144,3),"")</f>
        <v>9</v>
      </c>
      <c r="U66" s="39"/>
      <c r="V66" s="39"/>
      <c r="W66" s="39"/>
      <c r="X66" s="39"/>
      <c r="Y66" s="39"/>
    </row>
    <row r="67" spans="1:25" x14ac:dyDescent="0.3">
      <c r="A67" s="43" t="s">
        <v>316</v>
      </c>
      <c r="B67" s="44">
        <v>3</v>
      </c>
      <c r="C67" s="45" t="s">
        <v>317</v>
      </c>
      <c r="D67" s="46" t="s">
        <v>293</v>
      </c>
      <c r="E67" s="44" t="s">
        <v>259</v>
      </c>
      <c r="F67" s="44">
        <v>9</v>
      </c>
      <c r="G67" s="47">
        <f>IF($F67="","",Dashboard!$B$3+$F67-1)</f>
        <v>46302</v>
      </c>
      <c r="H67" s="47">
        <f>IF($T67="","",Dashboard!$B$3+$T67-1)</f>
        <v>46302</v>
      </c>
      <c r="I67" s="44">
        <v>1</v>
      </c>
      <c r="J67" s="48">
        <v>2.5</v>
      </c>
      <c r="K67" s="48"/>
      <c r="L67" s="46" t="s">
        <v>165</v>
      </c>
      <c r="M67" s="49">
        <f>IF($L67="Done",1,IF($L67="Doing",0.5,0))</f>
        <v>0</v>
      </c>
      <c r="N67" s="44"/>
      <c r="O67" s="46"/>
      <c r="P67" s="45" t="s">
        <v>318</v>
      </c>
      <c r="Q67" s="45"/>
      <c r="R67" s="43" t="s">
        <v>120</v>
      </c>
      <c r="S67" s="43" t="s">
        <v>46</v>
      </c>
      <c r="T67" s="44">
        <f>$F67+$I67-1</f>
        <v>9</v>
      </c>
      <c r="U67" s="46">
        <f>IF($L67="Deferred",0,$J67)</f>
        <v>2.5</v>
      </c>
      <c r="V67" s="46">
        <f>IF($L67="Deferred",0,$J67*$M67)</f>
        <v>0</v>
      </c>
      <c r="W67" s="46">
        <f>IF($L67="Deferred",0,N($K67))</f>
        <v>0</v>
      </c>
      <c r="X67" s="46">
        <f>$F67</f>
        <v>9</v>
      </c>
      <c r="Y67" s="46">
        <f>$T67</f>
        <v>9</v>
      </c>
    </row>
    <row r="68" spans="1:25" x14ac:dyDescent="0.3">
      <c r="A68" s="43" t="s">
        <v>319</v>
      </c>
      <c r="B68" s="44">
        <v>3</v>
      </c>
      <c r="C68" s="45" t="s">
        <v>320</v>
      </c>
      <c r="D68" s="46" t="s">
        <v>293</v>
      </c>
      <c r="E68" s="44" t="s">
        <v>239</v>
      </c>
      <c r="F68" s="44">
        <v>9</v>
      </c>
      <c r="G68" s="47">
        <f>IF($F68="","",Dashboard!$B$3+$F68-1)</f>
        <v>46302</v>
      </c>
      <c r="H68" s="47">
        <f>IF($T68="","",Dashboard!$B$3+$T68-1)</f>
        <v>46302</v>
      </c>
      <c r="I68" s="44">
        <v>1</v>
      </c>
      <c r="J68" s="48">
        <v>1.5</v>
      </c>
      <c r="K68" s="48"/>
      <c r="L68" s="46" t="s">
        <v>165</v>
      </c>
      <c r="M68" s="49">
        <f>IF($L68="Done",1,IF($L68="Doing",0.5,0))</f>
        <v>0</v>
      </c>
      <c r="N68" s="44"/>
      <c r="O68" s="46"/>
      <c r="P68" s="45" t="s">
        <v>321</v>
      </c>
      <c r="Q68" s="45"/>
      <c r="R68" s="43" t="s">
        <v>120</v>
      </c>
      <c r="S68" s="43" t="s">
        <v>46</v>
      </c>
      <c r="T68" s="44">
        <f>$F68+$I68-1</f>
        <v>9</v>
      </c>
      <c r="U68" s="46">
        <f>IF($L68="Deferred",0,$J68)</f>
        <v>1.5</v>
      </c>
      <c r="V68" s="46">
        <f>IF($L68="Deferred",0,$J68*$M68)</f>
        <v>0</v>
      </c>
      <c r="W68" s="46">
        <f>IF($L68="Deferred",0,N($K68))</f>
        <v>0</v>
      </c>
      <c r="X68" s="46">
        <f>$F68</f>
        <v>9</v>
      </c>
      <c r="Y68" s="46">
        <f>$T68</f>
        <v>9</v>
      </c>
    </row>
    <row r="69" spans="1:25" x14ac:dyDescent="0.3">
      <c r="A69" s="36" t="s">
        <v>121</v>
      </c>
      <c r="B69" s="37">
        <v>2</v>
      </c>
      <c r="C69" s="38" t="s">
        <v>322</v>
      </c>
      <c r="D69" s="39" t="s">
        <v>293</v>
      </c>
      <c r="E69" s="37"/>
      <c r="F69" s="37">
        <f>IFERROR(_xlfn.MINIFS($X$5:$X$144,$R$5:$R$144,$A69,$B$5:$B$144,3),"")</f>
        <v>8</v>
      </c>
      <c r="G69" s="40">
        <f>IF($F69="","",Dashboard!$B$3+$F69-1)</f>
        <v>46301</v>
      </c>
      <c r="H69" s="40">
        <f>IF($T69="","",Dashboard!$B$3+$T69-1)</f>
        <v>46301</v>
      </c>
      <c r="I69" s="37">
        <f>IFERROR($T69-$F69+1,"")</f>
        <v>1</v>
      </c>
      <c r="J69" s="41">
        <f>SUMIFS($U$5:$U$144,$R$5:$R$144,$A69,$B$5:$B$144,3)</f>
        <v>1</v>
      </c>
      <c r="K69" s="41">
        <f>SUMIFS($W$5:$W$144,$R$5:$R$144,$A69,$B$5:$B$144,3)</f>
        <v>0</v>
      </c>
      <c r="L69" s="39"/>
      <c r="M69" s="42">
        <f>IFERROR(SUMIFS($V$5:$V$144,$R$5:$R$144,$A69,$B$5:$B$144,3)/SUMIFS($U$5:$U$144,$R$5:$R$144,$A69,$B$5:$B$144,3),0)</f>
        <v>0</v>
      </c>
      <c r="N69" s="37"/>
      <c r="O69" s="39"/>
      <c r="P69" s="38"/>
      <c r="Q69" s="38"/>
      <c r="R69" s="36" t="s">
        <v>46</v>
      </c>
      <c r="S69" s="36" t="s">
        <v>46</v>
      </c>
      <c r="T69" s="37">
        <f>IFERROR(_xlfn.MAXIFS($Y$5:$Y$144,$R$5:$R$144,$A69,$B$5:$B$144,3),"")</f>
        <v>8</v>
      </c>
      <c r="U69" s="39"/>
      <c r="V69" s="39"/>
      <c r="W69" s="39"/>
      <c r="X69" s="39"/>
      <c r="Y69" s="39"/>
    </row>
    <row r="70" spans="1:25" x14ac:dyDescent="0.3">
      <c r="A70" s="43" t="s">
        <v>323</v>
      </c>
      <c r="B70" s="44">
        <v>3</v>
      </c>
      <c r="C70" s="45" t="s">
        <v>324</v>
      </c>
      <c r="D70" s="46" t="s">
        <v>293</v>
      </c>
      <c r="E70" s="44" t="s">
        <v>288</v>
      </c>
      <c r="F70" s="44">
        <v>8</v>
      </c>
      <c r="G70" s="47">
        <f>IF($F70="","",Dashboard!$B$3+$F70-1)</f>
        <v>46301</v>
      </c>
      <c r="H70" s="47">
        <f>IF($T70="","",Dashboard!$B$3+$T70-1)</f>
        <v>46301</v>
      </c>
      <c r="I70" s="44">
        <v>1</v>
      </c>
      <c r="J70" s="48">
        <v>1</v>
      </c>
      <c r="K70" s="48"/>
      <c r="L70" s="46" t="s">
        <v>165</v>
      </c>
      <c r="M70" s="49">
        <f>IF($L70="Done",1,IF($L70="Doing",0.5,0))</f>
        <v>0</v>
      </c>
      <c r="N70" s="44"/>
      <c r="O70" s="46"/>
      <c r="P70" s="45" t="s">
        <v>325</v>
      </c>
      <c r="Q70" s="45"/>
      <c r="R70" s="43" t="s">
        <v>121</v>
      </c>
      <c r="S70" s="43" t="s">
        <v>46</v>
      </c>
      <c r="T70" s="44">
        <f>$F70+$I70-1</f>
        <v>8</v>
      </c>
      <c r="U70" s="46">
        <f>IF($L70="Deferred",0,$J70)</f>
        <v>1</v>
      </c>
      <c r="V70" s="46">
        <f>IF($L70="Deferred",0,$J70*$M70)</f>
        <v>0</v>
      </c>
      <c r="W70" s="46">
        <f>IF($L70="Deferred",0,N($K70))</f>
        <v>0</v>
      </c>
      <c r="X70" s="46">
        <f>$F70</f>
        <v>8</v>
      </c>
      <c r="Y70" s="46">
        <f>$T70</f>
        <v>8</v>
      </c>
    </row>
    <row r="71" spans="1:25" x14ac:dyDescent="0.3">
      <c r="A71" s="29" t="s">
        <v>48</v>
      </c>
      <c r="B71" s="30">
        <v>1</v>
      </c>
      <c r="C71" s="31" t="s">
        <v>326</v>
      </c>
      <c r="D71" s="32" t="s">
        <v>326</v>
      </c>
      <c r="E71" s="30"/>
      <c r="F71" s="30">
        <f>IFERROR(_xlfn.MINIFS($X$5:$X$144,$S$5:$S$144,$A71,$B$5:$B$144,3),"")</f>
        <v>10</v>
      </c>
      <c r="G71" s="33">
        <f>IF($F71="","",Dashboard!$B$3+$F71-1)</f>
        <v>46303</v>
      </c>
      <c r="H71" s="33">
        <f>IF($T71="","",Dashboard!$B$3+$T71-1)</f>
        <v>46306</v>
      </c>
      <c r="I71" s="30">
        <f>IFERROR($T71-$F71+1,"")</f>
        <v>4</v>
      </c>
      <c r="J71" s="34">
        <f>SUMIFS($U$5:$U$144,$S$5:$S$144,$A71,$B$5:$B$144,3)</f>
        <v>32</v>
      </c>
      <c r="K71" s="34">
        <f>SUMIFS($W$5:$W$144,$S$5:$S$144,$A71,$B$5:$B$144,3)</f>
        <v>0</v>
      </c>
      <c r="L71" s="32"/>
      <c r="M71" s="35">
        <f>IFERROR(SUMIFS($V$5:$V$144,$S$5:$S$144,$A71,$B$5:$B$144,3)/SUMIFS($U$5:$U$144,$S$5:$S$144,$A71,$B$5:$B$144,3),0)</f>
        <v>0</v>
      </c>
      <c r="N71" s="30"/>
      <c r="O71" s="32"/>
      <c r="P71" s="31"/>
      <c r="Q71" s="31"/>
      <c r="R71" s="29"/>
      <c r="S71" s="29"/>
      <c r="T71" s="30">
        <f>IFERROR(_xlfn.MAXIFS($Y$5:$Y$144,$S$5:$S$144,$A71,$B$5:$B$144,3),"")</f>
        <v>13</v>
      </c>
      <c r="U71" s="32"/>
      <c r="V71" s="32"/>
      <c r="W71" s="32"/>
      <c r="X71" s="32"/>
      <c r="Y71" s="32"/>
    </row>
    <row r="72" spans="1:25" x14ac:dyDescent="0.3">
      <c r="A72" s="36" t="s">
        <v>122</v>
      </c>
      <c r="B72" s="37">
        <v>2</v>
      </c>
      <c r="C72" s="38" t="s">
        <v>327</v>
      </c>
      <c r="D72" s="39" t="s">
        <v>326</v>
      </c>
      <c r="E72" s="37"/>
      <c r="F72" s="37">
        <f>IFERROR(_xlfn.MINIFS($X$5:$X$144,$R$5:$R$144,$A72,$B$5:$B$144,3),"")</f>
        <v>10</v>
      </c>
      <c r="G72" s="40">
        <f>IF($F72="","",Dashboard!$B$3+$F72-1)</f>
        <v>46303</v>
      </c>
      <c r="H72" s="40">
        <f>IF($T72="","",Dashboard!$B$3+$T72-1)</f>
        <v>46303</v>
      </c>
      <c r="I72" s="37">
        <f>IFERROR($T72-$F72+1,"")</f>
        <v>1</v>
      </c>
      <c r="J72" s="41">
        <f>SUMIFS($U$5:$U$144,$R$5:$R$144,$A72,$B$5:$B$144,3)</f>
        <v>8</v>
      </c>
      <c r="K72" s="41">
        <f>SUMIFS($W$5:$W$144,$R$5:$R$144,$A72,$B$5:$B$144,3)</f>
        <v>0</v>
      </c>
      <c r="L72" s="39"/>
      <c r="M72" s="42">
        <f>IFERROR(SUMIFS($V$5:$V$144,$R$5:$R$144,$A72,$B$5:$B$144,3)/SUMIFS($U$5:$U$144,$R$5:$R$144,$A72,$B$5:$B$144,3),0)</f>
        <v>0</v>
      </c>
      <c r="N72" s="37"/>
      <c r="O72" s="39"/>
      <c r="P72" s="38"/>
      <c r="Q72" s="38"/>
      <c r="R72" s="36" t="s">
        <v>48</v>
      </c>
      <c r="S72" s="36" t="s">
        <v>48</v>
      </c>
      <c r="T72" s="37">
        <f>IFERROR(_xlfn.MAXIFS($Y$5:$Y$144,$R$5:$R$144,$A72,$B$5:$B$144,3),"")</f>
        <v>10</v>
      </c>
      <c r="U72" s="39"/>
      <c r="V72" s="39"/>
      <c r="W72" s="39"/>
      <c r="X72" s="39"/>
      <c r="Y72" s="39"/>
    </row>
    <row r="73" spans="1:25" x14ac:dyDescent="0.3">
      <c r="A73" s="43" t="s">
        <v>328</v>
      </c>
      <c r="B73" s="44">
        <v>3</v>
      </c>
      <c r="C73" s="45" t="s">
        <v>329</v>
      </c>
      <c r="D73" s="46" t="s">
        <v>326</v>
      </c>
      <c r="E73" s="44" t="s">
        <v>330</v>
      </c>
      <c r="F73" s="44">
        <v>10</v>
      </c>
      <c r="G73" s="47">
        <f>IF($F73="","",Dashboard!$B$3+$F73-1)</f>
        <v>46303</v>
      </c>
      <c r="H73" s="47">
        <f>IF($T73="","",Dashboard!$B$3+$T73-1)</f>
        <v>46303</v>
      </c>
      <c r="I73" s="44">
        <v>1</v>
      </c>
      <c r="J73" s="48">
        <v>2</v>
      </c>
      <c r="K73" s="48"/>
      <c r="L73" s="46" t="s">
        <v>165</v>
      </c>
      <c r="M73" s="49">
        <f>IF($L73="Done",1,IF($L73="Doing",0.5,0))</f>
        <v>0</v>
      </c>
      <c r="N73" s="44"/>
      <c r="O73" s="46"/>
      <c r="P73" s="45" t="s">
        <v>331</v>
      </c>
      <c r="Q73" s="45"/>
      <c r="R73" s="43" t="s">
        <v>122</v>
      </c>
      <c r="S73" s="43" t="s">
        <v>48</v>
      </c>
      <c r="T73" s="44">
        <f>$F73+$I73-1</f>
        <v>10</v>
      </c>
      <c r="U73" s="46">
        <f>IF($L73="Deferred",0,$J73)</f>
        <v>2</v>
      </c>
      <c r="V73" s="46">
        <f>IF($L73="Deferred",0,$J73*$M73)</f>
        <v>0</v>
      </c>
      <c r="W73" s="46">
        <f>IF($L73="Deferred",0,N($K73))</f>
        <v>0</v>
      </c>
      <c r="X73" s="46">
        <f>$F73</f>
        <v>10</v>
      </c>
      <c r="Y73" s="46">
        <f>$T73</f>
        <v>10</v>
      </c>
    </row>
    <row r="74" spans="1:25" x14ac:dyDescent="0.3">
      <c r="A74" s="43" t="s">
        <v>332</v>
      </c>
      <c r="B74" s="44">
        <v>3</v>
      </c>
      <c r="C74" s="45" t="s">
        <v>333</v>
      </c>
      <c r="D74" s="46" t="s">
        <v>326</v>
      </c>
      <c r="E74" s="44" t="s">
        <v>330</v>
      </c>
      <c r="F74" s="44">
        <v>10</v>
      </c>
      <c r="G74" s="47">
        <f>IF($F74="","",Dashboard!$B$3+$F74-1)</f>
        <v>46303</v>
      </c>
      <c r="H74" s="47">
        <f>IF($T74="","",Dashboard!$B$3+$T74-1)</f>
        <v>46303</v>
      </c>
      <c r="I74" s="44">
        <v>1</v>
      </c>
      <c r="J74" s="48">
        <v>3.5</v>
      </c>
      <c r="K74" s="48"/>
      <c r="L74" s="46" t="s">
        <v>165</v>
      </c>
      <c r="M74" s="49">
        <f>IF($L74="Done",1,IF($L74="Doing",0.5,0))</f>
        <v>0</v>
      </c>
      <c r="N74" s="44"/>
      <c r="O74" s="46"/>
      <c r="P74" s="45" t="s">
        <v>334</v>
      </c>
      <c r="Q74" s="45"/>
      <c r="R74" s="43" t="s">
        <v>122</v>
      </c>
      <c r="S74" s="43" t="s">
        <v>48</v>
      </c>
      <c r="T74" s="44">
        <f>$F74+$I74-1</f>
        <v>10</v>
      </c>
      <c r="U74" s="46">
        <f>IF($L74="Deferred",0,$J74)</f>
        <v>3.5</v>
      </c>
      <c r="V74" s="46">
        <f>IF($L74="Deferred",0,$J74*$M74)</f>
        <v>0</v>
      </c>
      <c r="W74" s="46">
        <f>IF($L74="Deferred",0,N($K74))</f>
        <v>0</v>
      </c>
      <c r="X74" s="46">
        <f>$F74</f>
        <v>10</v>
      </c>
      <c r="Y74" s="46">
        <f>$T74</f>
        <v>10</v>
      </c>
    </row>
    <row r="75" spans="1:25" x14ac:dyDescent="0.3">
      <c r="A75" s="43" t="s">
        <v>335</v>
      </c>
      <c r="B75" s="44">
        <v>3</v>
      </c>
      <c r="C75" s="45" t="s">
        <v>336</v>
      </c>
      <c r="D75" s="46" t="s">
        <v>326</v>
      </c>
      <c r="E75" s="44" t="s">
        <v>330</v>
      </c>
      <c r="F75" s="44">
        <v>10</v>
      </c>
      <c r="G75" s="47">
        <f>IF($F75="","",Dashboard!$B$3+$F75-1)</f>
        <v>46303</v>
      </c>
      <c r="H75" s="47">
        <f>IF($T75="","",Dashboard!$B$3+$T75-1)</f>
        <v>46303</v>
      </c>
      <c r="I75" s="44">
        <v>1</v>
      </c>
      <c r="J75" s="48">
        <v>2.5</v>
      </c>
      <c r="K75" s="48"/>
      <c r="L75" s="46" t="s">
        <v>165</v>
      </c>
      <c r="M75" s="49">
        <f>IF($L75="Done",1,IF($L75="Doing",0.5,0))</f>
        <v>0</v>
      </c>
      <c r="N75" s="44"/>
      <c r="O75" s="46"/>
      <c r="P75" s="45" t="s">
        <v>337</v>
      </c>
      <c r="Q75" s="45"/>
      <c r="R75" s="43" t="s">
        <v>122</v>
      </c>
      <c r="S75" s="43" t="s">
        <v>48</v>
      </c>
      <c r="T75" s="44">
        <f>$F75+$I75-1</f>
        <v>10</v>
      </c>
      <c r="U75" s="46">
        <f>IF($L75="Deferred",0,$J75)</f>
        <v>2.5</v>
      </c>
      <c r="V75" s="46">
        <f>IF($L75="Deferred",0,$J75*$M75)</f>
        <v>0</v>
      </c>
      <c r="W75" s="46">
        <f>IF($L75="Deferred",0,N($K75))</f>
        <v>0</v>
      </c>
      <c r="X75" s="46">
        <f>$F75</f>
        <v>10</v>
      </c>
      <c r="Y75" s="46">
        <f>$T75</f>
        <v>10</v>
      </c>
    </row>
    <row r="76" spans="1:25" x14ac:dyDescent="0.3">
      <c r="A76" s="36" t="s">
        <v>123</v>
      </c>
      <c r="B76" s="37">
        <v>2</v>
      </c>
      <c r="C76" s="38" t="s">
        <v>338</v>
      </c>
      <c r="D76" s="39" t="s">
        <v>326</v>
      </c>
      <c r="E76" s="37"/>
      <c r="F76" s="37">
        <f>IFERROR(_xlfn.MINIFS($X$5:$X$144,$R$5:$R$144,$A76,$B$5:$B$144,3),"")</f>
        <v>11</v>
      </c>
      <c r="G76" s="40">
        <f>IF($F76="","",Dashboard!$B$3+$F76-1)</f>
        <v>46304</v>
      </c>
      <c r="H76" s="40">
        <f>IF($T76="","",Dashboard!$B$3+$T76-1)</f>
        <v>46304</v>
      </c>
      <c r="I76" s="37">
        <f>IFERROR($T76-$F76+1,"")</f>
        <v>1</v>
      </c>
      <c r="J76" s="41">
        <f>SUMIFS($U$5:$U$144,$R$5:$R$144,$A76,$B$5:$B$144,3)</f>
        <v>5</v>
      </c>
      <c r="K76" s="41">
        <f>SUMIFS($W$5:$W$144,$R$5:$R$144,$A76,$B$5:$B$144,3)</f>
        <v>0</v>
      </c>
      <c r="L76" s="39"/>
      <c r="M76" s="42">
        <f>IFERROR(SUMIFS($V$5:$V$144,$R$5:$R$144,$A76,$B$5:$B$144,3)/SUMIFS($U$5:$U$144,$R$5:$R$144,$A76,$B$5:$B$144,3),0)</f>
        <v>0</v>
      </c>
      <c r="N76" s="37"/>
      <c r="O76" s="39"/>
      <c r="P76" s="38"/>
      <c r="Q76" s="38"/>
      <c r="R76" s="36" t="s">
        <v>48</v>
      </c>
      <c r="S76" s="36" t="s">
        <v>48</v>
      </c>
      <c r="T76" s="37">
        <f>IFERROR(_xlfn.MAXIFS($Y$5:$Y$144,$R$5:$R$144,$A76,$B$5:$B$144,3),"")</f>
        <v>11</v>
      </c>
      <c r="U76" s="39"/>
      <c r="V76" s="39"/>
      <c r="W76" s="39"/>
      <c r="X76" s="39"/>
      <c r="Y76" s="39"/>
    </row>
    <row r="77" spans="1:25" ht="26.4" x14ac:dyDescent="0.3">
      <c r="A77" s="43" t="s">
        <v>339</v>
      </c>
      <c r="B77" s="44">
        <v>3</v>
      </c>
      <c r="C77" s="45" t="s">
        <v>340</v>
      </c>
      <c r="D77" s="46" t="s">
        <v>326</v>
      </c>
      <c r="E77" s="44" t="s">
        <v>330</v>
      </c>
      <c r="F77" s="44">
        <v>11</v>
      </c>
      <c r="G77" s="47">
        <f>IF($F77="","",Dashboard!$B$3+$F77-1)</f>
        <v>46304</v>
      </c>
      <c r="H77" s="47">
        <f>IF($T77="","",Dashboard!$B$3+$T77-1)</f>
        <v>46304</v>
      </c>
      <c r="I77" s="44">
        <v>1</v>
      </c>
      <c r="J77" s="48">
        <v>2.5</v>
      </c>
      <c r="K77" s="48"/>
      <c r="L77" s="46" t="s">
        <v>165</v>
      </c>
      <c r="M77" s="49">
        <f>IF($L77="Done",1,IF($L77="Doing",0.5,0))</f>
        <v>0</v>
      </c>
      <c r="N77" s="44"/>
      <c r="O77" s="46"/>
      <c r="P77" s="45" t="s">
        <v>341</v>
      </c>
      <c r="Q77" s="45"/>
      <c r="R77" s="43" t="s">
        <v>123</v>
      </c>
      <c r="S77" s="43" t="s">
        <v>48</v>
      </c>
      <c r="T77" s="44">
        <f>$F77+$I77-1</f>
        <v>11</v>
      </c>
      <c r="U77" s="46">
        <f>IF($L77="Deferred",0,$J77)</f>
        <v>2.5</v>
      </c>
      <c r="V77" s="46">
        <f>IF($L77="Deferred",0,$J77*$M77)</f>
        <v>0</v>
      </c>
      <c r="W77" s="46">
        <f>IF($L77="Deferred",0,N($K77))</f>
        <v>0</v>
      </c>
      <c r="X77" s="46">
        <f>$F77</f>
        <v>11</v>
      </c>
      <c r="Y77" s="46">
        <f>$T77</f>
        <v>11</v>
      </c>
    </row>
    <row r="78" spans="1:25" x14ac:dyDescent="0.3">
      <c r="A78" s="43" t="s">
        <v>342</v>
      </c>
      <c r="B78" s="44">
        <v>3</v>
      </c>
      <c r="C78" s="45" t="s">
        <v>343</v>
      </c>
      <c r="D78" s="46" t="s">
        <v>326</v>
      </c>
      <c r="E78" s="44" t="s">
        <v>330</v>
      </c>
      <c r="F78" s="44">
        <v>11</v>
      </c>
      <c r="G78" s="47">
        <f>IF($F78="","",Dashboard!$B$3+$F78-1)</f>
        <v>46304</v>
      </c>
      <c r="H78" s="47">
        <f>IF($T78="","",Dashboard!$B$3+$T78-1)</f>
        <v>46304</v>
      </c>
      <c r="I78" s="44">
        <v>1</v>
      </c>
      <c r="J78" s="48">
        <v>1.5</v>
      </c>
      <c r="K78" s="48"/>
      <c r="L78" s="46" t="s">
        <v>165</v>
      </c>
      <c r="M78" s="49">
        <f>IF($L78="Done",1,IF($L78="Doing",0.5,0))</f>
        <v>0</v>
      </c>
      <c r="N78" s="44"/>
      <c r="O78" s="46"/>
      <c r="P78" s="45" t="s">
        <v>344</v>
      </c>
      <c r="Q78" s="45"/>
      <c r="R78" s="43" t="s">
        <v>123</v>
      </c>
      <c r="S78" s="43" t="s">
        <v>48</v>
      </c>
      <c r="T78" s="44">
        <f>$F78+$I78-1</f>
        <v>11</v>
      </c>
      <c r="U78" s="46">
        <f>IF($L78="Deferred",0,$J78)</f>
        <v>1.5</v>
      </c>
      <c r="V78" s="46">
        <f>IF($L78="Deferred",0,$J78*$M78)</f>
        <v>0</v>
      </c>
      <c r="W78" s="46">
        <f>IF($L78="Deferred",0,N($K78))</f>
        <v>0</v>
      </c>
      <c r="X78" s="46">
        <f>$F78</f>
        <v>11</v>
      </c>
      <c r="Y78" s="46">
        <f>$T78</f>
        <v>11</v>
      </c>
    </row>
    <row r="79" spans="1:25" x14ac:dyDescent="0.3">
      <c r="A79" s="43" t="s">
        <v>345</v>
      </c>
      <c r="B79" s="44">
        <v>3</v>
      </c>
      <c r="C79" s="45" t="s">
        <v>346</v>
      </c>
      <c r="D79" s="46" t="s">
        <v>326</v>
      </c>
      <c r="E79" s="44" t="s">
        <v>330</v>
      </c>
      <c r="F79" s="44">
        <v>11</v>
      </c>
      <c r="G79" s="47">
        <f>IF($F79="","",Dashboard!$B$3+$F79-1)</f>
        <v>46304</v>
      </c>
      <c r="H79" s="47">
        <f>IF($T79="","",Dashboard!$B$3+$T79-1)</f>
        <v>46304</v>
      </c>
      <c r="I79" s="44">
        <v>1</v>
      </c>
      <c r="J79" s="48">
        <v>1</v>
      </c>
      <c r="K79" s="48"/>
      <c r="L79" s="46" t="s">
        <v>165</v>
      </c>
      <c r="M79" s="49">
        <f>IF($L79="Done",1,IF($L79="Doing",0.5,0))</f>
        <v>0</v>
      </c>
      <c r="N79" s="44"/>
      <c r="O79" s="46"/>
      <c r="P79" s="45" t="s">
        <v>347</v>
      </c>
      <c r="Q79" s="45"/>
      <c r="R79" s="43" t="s">
        <v>123</v>
      </c>
      <c r="S79" s="43" t="s">
        <v>48</v>
      </c>
      <c r="T79" s="44">
        <f>$F79+$I79-1</f>
        <v>11</v>
      </c>
      <c r="U79" s="46">
        <f>IF($L79="Deferred",0,$J79)</f>
        <v>1</v>
      </c>
      <c r="V79" s="46">
        <f>IF($L79="Deferred",0,$J79*$M79)</f>
        <v>0</v>
      </c>
      <c r="W79" s="46">
        <f>IF($L79="Deferred",0,N($K79))</f>
        <v>0</v>
      </c>
      <c r="X79" s="46">
        <f>$F79</f>
        <v>11</v>
      </c>
      <c r="Y79" s="46">
        <f>$T79</f>
        <v>11</v>
      </c>
    </row>
    <row r="80" spans="1:25" x14ac:dyDescent="0.3">
      <c r="A80" s="36" t="s">
        <v>124</v>
      </c>
      <c r="B80" s="37">
        <v>2</v>
      </c>
      <c r="C80" s="38" t="s">
        <v>348</v>
      </c>
      <c r="D80" s="39" t="s">
        <v>326</v>
      </c>
      <c r="E80" s="37"/>
      <c r="F80" s="37">
        <f>IFERROR(_xlfn.MINIFS($X$5:$X$144,$R$5:$R$144,$A80,$B$5:$B$144,3),"")</f>
        <v>11</v>
      </c>
      <c r="G80" s="40">
        <f>IF($F80="","",Dashboard!$B$3+$F80-1)</f>
        <v>46304</v>
      </c>
      <c r="H80" s="40">
        <f>IF($T80="","",Dashboard!$B$3+$T80-1)</f>
        <v>46304</v>
      </c>
      <c r="I80" s="37">
        <f>IFERROR($T80-$F80+1,"")</f>
        <v>1</v>
      </c>
      <c r="J80" s="41">
        <f>SUMIFS($U$5:$U$144,$R$5:$R$144,$A80,$B$5:$B$144,3)</f>
        <v>3</v>
      </c>
      <c r="K80" s="41">
        <f>SUMIFS($W$5:$W$144,$R$5:$R$144,$A80,$B$5:$B$144,3)</f>
        <v>0</v>
      </c>
      <c r="L80" s="39"/>
      <c r="M80" s="42">
        <f>IFERROR(SUMIFS($V$5:$V$144,$R$5:$R$144,$A80,$B$5:$B$144,3)/SUMIFS($U$5:$U$144,$R$5:$R$144,$A80,$B$5:$B$144,3),0)</f>
        <v>0</v>
      </c>
      <c r="N80" s="37"/>
      <c r="O80" s="39"/>
      <c r="P80" s="38"/>
      <c r="Q80" s="38"/>
      <c r="R80" s="36" t="s">
        <v>48</v>
      </c>
      <c r="S80" s="36" t="s">
        <v>48</v>
      </c>
      <c r="T80" s="37">
        <f>IFERROR(_xlfn.MAXIFS($Y$5:$Y$144,$R$5:$R$144,$A80,$B$5:$B$144,3),"")</f>
        <v>11</v>
      </c>
      <c r="U80" s="39"/>
      <c r="V80" s="39"/>
      <c r="W80" s="39"/>
      <c r="X80" s="39"/>
      <c r="Y80" s="39"/>
    </row>
    <row r="81" spans="1:25" x14ac:dyDescent="0.3">
      <c r="A81" s="43" t="s">
        <v>349</v>
      </c>
      <c r="B81" s="44">
        <v>3</v>
      </c>
      <c r="C81" s="45" t="s">
        <v>350</v>
      </c>
      <c r="D81" s="46" t="s">
        <v>326</v>
      </c>
      <c r="E81" s="44" t="s">
        <v>351</v>
      </c>
      <c r="F81" s="44">
        <v>11</v>
      </c>
      <c r="G81" s="47">
        <f>IF($F81="","",Dashboard!$B$3+$F81-1)</f>
        <v>46304</v>
      </c>
      <c r="H81" s="47">
        <f>IF($T81="","",Dashboard!$B$3+$T81-1)</f>
        <v>46304</v>
      </c>
      <c r="I81" s="44">
        <v>1</v>
      </c>
      <c r="J81" s="48">
        <v>2</v>
      </c>
      <c r="K81" s="48"/>
      <c r="L81" s="46" t="s">
        <v>165</v>
      </c>
      <c r="M81" s="49">
        <f>IF($L81="Done",1,IF($L81="Doing",0.5,0))</f>
        <v>0</v>
      </c>
      <c r="N81" s="44"/>
      <c r="O81" s="46"/>
      <c r="P81" s="45" t="s">
        <v>352</v>
      </c>
      <c r="Q81" s="45"/>
      <c r="R81" s="43" t="s">
        <v>124</v>
      </c>
      <c r="S81" s="43" t="s">
        <v>48</v>
      </c>
      <c r="T81" s="44">
        <f>$F81+$I81-1</f>
        <v>11</v>
      </c>
      <c r="U81" s="46">
        <f>IF($L81="Deferred",0,$J81)</f>
        <v>2</v>
      </c>
      <c r="V81" s="46">
        <f>IF($L81="Deferred",0,$J81*$M81)</f>
        <v>0</v>
      </c>
      <c r="W81" s="46">
        <f>IF($L81="Deferred",0,N($K81))</f>
        <v>0</v>
      </c>
      <c r="X81" s="46">
        <f>$F81</f>
        <v>11</v>
      </c>
      <c r="Y81" s="46">
        <f>$T81</f>
        <v>11</v>
      </c>
    </row>
    <row r="82" spans="1:25" x14ac:dyDescent="0.3">
      <c r="A82" s="43" t="s">
        <v>353</v>
      </c>
      <c r="B82" s="44">
        <v>3</v>
      </c>
      <c r="C82" s="45" t="s">
        <v>354</v>
      </c>
      <c r="D82" s="46" t="s">
        <v>326</v>
      </c>
      <c r="E82" s="44" t="s">
        <v>351</v>
      </c>
      <c r="F82" s="44">
        <v>11</v>
      </c>
      <c r="G82" s="47">
        <f>IF($F82="","",Dashboard!$B$3+$F82-1)</f>
        <v>46304</v>
      </c>
      <c r="H82" s="47">
        <f>IF($T82="","",Dashboard!$B$3+$T82-1)</f>
        <v>46304</v>
      </c>
      <c r="I82" s="44">
        <v>1</v>
      </c>
      <c r="J82" s="48">
        <v>1</v>
      </c>
      <c r="K82" s="48"/>
      <c r="L82" s="46" t="s">
        <v>165</v>
      </c>
      <c r="M82" s="49">
        <f>IF($L82="Done",1,IF($L82="Doing",0.5,0))</f>
        <v>0</v>
      </c>
      <c r="N82" s="44"/>
      <c r="O82" s="46"/>
      <c r="P82" s="45" t="s">
        <v>355</v>
      </c>
      <c r="Q82" s="45"/>
      <c r="R82" s="43" t="s">
        <v>124</v>
      </c>
      <c r="S82" s="43" t="s">
        <v>48</v>
      </c>
      <c r="T82" s="44">
        <f>$F82+$I82-1</f>
        <v>11</v>
      </c>
      <c r="U82" s="46">
        <f>IF($L82="Deferred",0,$J82)</f>
        <v>1</v>
      </c>
      <c r="V82" s="46">
        <f>IF($L82="Deferred",0,$J82*$M82)</f>
        <v>0</v>
      </c>
      <c r="W82" s="46">
        <f>IF($L82="Deferred",0,N($K82))</f>
        <v>0</v>
      </c>
      <c r="X82" s="46">
        <f>$F82</f>
        <v>11</v>
      </c>
      <c r="Y82" s="46">
        <f>$T82</f>
        <v>11</v>
      </c>
    </row>
    <row r="83" spans="1:25" x14ac:dyDescent="0.3">
      <c r="A83" s="36" t="s">
        <v>125</v>
      </c>
      <c r="B83" s="37">
        <v>2</v>
      </c>
      <c r="C83" s="38" t="s">
        <v>356</v>
      </c>
      <c r="D83" s="39" t="s">
        <v>326</v>
      </c>
      <c r="E83" s="37"/>
      <c r="F83" s="37">
        <f>IFERROR(_xlfn.MINIFS($X$5:$X$144,$R$5:$R$144,$A83,$B$5:$B$144,3),"")</f>
        <v>12</v>
      </c>
      <c r="G83" s="40">
        <f>IF($F83="","",Dashboard!$B$3+$F83-1)</f>
        <v>46305</v>
      </c>
      <c r="H83" s="40">
        <f>IF($T83="","",Dashboard!$B$3+$T83-1)</f>
        <v>46305</v>
      </c>
      <c r="I83" s="37">
        <f>IFERROR($T83-$F83+1,"")</f>
        <v>1</v>
      </c>
      <c r="J83" s="41">
        <f>SUMIFS($U$5:$U$144,$R$5:$R$144,$A83,$B$5:$B$144,3)</f>
        <v>3</v>
      </c>
      <c r="K83" s="41">
        <f>SUMIFS($W$5:$W$144,$R$5:$R$144,$A83,$B$5:$B$144,3)</f>
        <v>0</v>
      </c>
      <c r="L83" s="39"/>
      <c r="M83" s="42">
        <f>IFERROR(SUMIFS($V$5:$V$144,$R$5:$R$144,$A83,$B$5:$B$144,3)/SUMIFS($U$5:$U$144,$R$5:$R$144,$A83,$B$5:$B$144,3),0)</f>
        <v>0</v>
      </c>
      <c r="N83" s="37"/>
      <c r="O83" s="39"/>
      <c r="P83" s="38"/>
      <c r="Q83" s="38"/>
      <c r="R83" s="36" t="s">
        <v>48</v>
      </c>
      <c r="S83" s="36" t="s">
        <v>48</v>
      </c>
      <c r="T83" s="37">
        <f>IFERROR(_xlfn.MAXIFS($Y$5:$Y$144,$R$5:$R$144,$A83,$B$5:$B$144,3),"")</f>
        <v>12</v>
      </c>
      <c r="U83" s="39"/>
      <c r="V83" s="39"/>
      <c r="W83" s="39"/>
      <c r="X83" s="39"/>
      <c r="Y83" s="39"/>
    </row>
    <row r="84" spans="1:25" x14ac:dyDescent="0.3">
      <c r="A84" s="43" t="s">
        <v>357</v>
      </c>
      <c r="B84" s="44">
        <v>3</v>
      </c>
      <c r="C84" s="45" t="s">
        <v>358</v>
      </c>
      <c r="D84" s="46" t="s">
        <v>326</v>
      </c>
      <c r="E84" s="44" t="s">
        <v>359</v>
      </c>
      <c r="F84" s="44">
        <v>12</v>
      </c>
      <c r="G84" s="47">
        <f>IF($F84="","",Dashboard!$B$3+$F84-1)</f>
        <v>46305</v>
      </c>
      <c r="H84" s="47">
        <f>IF($T84="","",Dashboard!$B$3+$T84-1)</f>
        <v>46305</v>
      </c>
      <c r="I84" s="44">
        <v>1</v>
      </c>
      <c r="J84" s="48">
        <v>2</v>
      </c>
      <c r="K84" s="48"/>
      <c r="L84" s="46" t="s">
        <v>165</v>
      </c>
      <c r="M84" s="49">
        <f>IF($L84="Done",1,IF($L84="Doing",0.5,0))</f>
        <v>0</v>
      </c>
      <c r="N84" s="44"/>
      <c r="O84" s="46"/>
      <c r="P84" s="45" t="s">
        <v>360</v>
      </c>
      <c r="Q84" s="45"/>
      <c r="R84" s="43" t="s">
        <v>125</v>
      </c>
      <c r="S84" s="43" t="s">
        <v>48</v>
      </c>
      <c r="T84" s="44">
        <f>$F84+$I84-1</f>
        <v>12</v>
      </c>
      <c r="U84" s="46">
        <f>IF($L84="Deferred",0,$J84)</f>
        <v>2</v>
      </c>
      <c r="V84" s="46">
        <f>IF($L84="Deferred",0,$J84*$M84)</f>
        <v>0</v>
      </c>
      <c r="W84" s="46">
        <f>IF($L84="Deferred",0,N($K84))</f>
        <v>0</v>
      </c>
      <c r="X84" s="46">
        <f>$F84</f>
        <v>12</v>
      </c>
      <c r="Y84" s="46">
        <f>$T84</f>
        <v>12</v>
      </c>
    </row>
    <row r="85" spans="1:25" x14ac:dyDescent="0.3">
      <c r="A85" s="43" t="s">
        <v>361</v>
      </c>
      <c r="B85" s="44">
        <v>3</v>
      </c>
      <c r="C85" s="45" t="s">
        <v>362</v>
      </c>
      <c r="D85" s="46" t="s">
        <v>326</v>
      </c>
      <c r="E85" s="44" t="s">
        <v>250</v>
      </c>
      <c r="F85" s="44">
        <v>12</v>
      </c>
      <c r="G85" s="47">
        <f>IF($F85="","",Dashboard!$B$3+$F85-1)</f>
        <v>46305</v>
      </c>
      <c r="H85" s="47">
        <f>IF($T85="","",Dashboard!$B$3+$T85-1)</f>
        <v>46305</v>
      </c>
      <c r="I85" s="44">
        <v>1</v>
      </c>
      <c r="J85" s="48">
        <v>1</v>
      </c>
      <c r="K85" s="48"/>
      <c r="L85" s="46" t="s">
        <v>165</v>
      </c>
      <c r="M85" s="49">
        <f>IF($L85="Done",1,IF($L85="Doing",0.5,0))</f>
        <v>0</v>
      </c>
      <c r="N85" s="44"/>
      <c r="O85" s="46"/>
      <c r="P85" s="45" t="s">
        <v>363</v>
      </c>
      <c r="Q85" s="45"/>
      <c r="R85" s="43" t="s">
        <v>125</v>
      </c>
      <c r="S85" s="43" t="s">
        <v>48</v>
      </c>
      <c r="T85" s="44">
        <f>$F85+$I85-1</f>
        <v>12</v>
      </c>
      <c r="U85" s="46">
        <f>IF($L85="Deferred",0,$J85)</f>
        <v>1</v>
      </c>
      <c r="V85" s="46">
        <f>IF($L85="Deferred",0,$J85*$M85)</f>
        <v>0</v>
      </c>
      <c r="W85" s="46">
        <f>IF($L85="Deferred",0,N($K85))</f>
        <v>0</v>
      </c>
      <c r="X85" s="46">
        <f>$F85</f>
        <v>12</v>
      </c>
      <c r="Y85" s="46">
        <f>$T85</f>
        <v>12</v>
      </c>
    </row>
    <row r="86" spans="1:25" x14ac:dyDescent="0.3">
      <c r="A86" s="36" t="s">
        <v>126</v>
      </c>
      <c r="B86" s="37">
        <v>2</v>
      </c>
      <c r="C86" s="38" t="s">
        <v>364</v>
      </c>
      <c r="D86" s="39" t="s">
        <v>326</v>
      </c>
      <c r="E86" s="37"/>
      <c r="F86" s="37">
        <f>IFERROR(_xlfn.MINIFS($X$5:$X$144,$R$5:$R$144,$A86,$B$5:$B$144,3),"")</f>
        <v>12</v>
      </c>
      <c r="G86" s="40">
        <f>IF($F86="","",Dashboard!$B$3+$F86-1)</f>
        <v>46305</v>
      </c>
      <c r="H86" s="40">
        <f>IF($T86="","",Dashboard!$B$3+$T86-1)</f>
        <v>46306</v>
      </c>
      <c r="I86" s="37">
        <f>IFERROR($T86-$F86+1,"")</f>
        <v>2</v>
      </c>
      <c r="J86" s="41">
        <f>SUMIFS($U$5:$U$144,$R$5:$R$144,$A86,$B$5:$B$144,3)</f>
        <v>8</v>
      </c>
      <c r="K86" s="41">
        <f>SUMIFS($W$5:$W$144,$R$5:$R$144,$A86,$B$5:$B$144,3)</f>
        <v>0</v>
      </c>
      <c r="L86" s="39"/>
      <c r="M86" s="42">
        <f>IFERROR(SUMIFS($V$5:$V$144,$R$5:$R$144,$A86,$B$5:$B$144,3)/SUMIFS($U$5:$U$144,$R$5:$R$144,$A86,$B$5:$B$144,3),0)</f>
        <v>0</v>
      </c>
      <c r="N86" s="37"/>
      <c r="O86" s="39"/>
      <c r="P86" s="38"/>
      <c r="Q86" s="38"/>
      <c r="R86" s="36" t="s">
        <v>48</v>
      </c>
      <c r="S86" s="36" t="s">
        <v>48</v>
      </c>
      <c r="T86" s="37">
        <f>IFERROR(_xlfn.MAXIFS($Y$5:$Y$144,$R$5:$R$144,$A86,$B$5:$B$144,3),"")</f>
        <v>13</v>
      </c>
      <c r="U86" s="39"/>
      <c r="V86" s="39"/>
      <c r="W86" s="39"/>
      <c r="X86" s="39"/>
      <c r="Y86" s="39"/>
    </row>
    <row r="87" spans="1:25" x14ac:dyDescent="0.3">
      <c r="A87" s="43" t="s">
        <v>365</v>
      </c>
      <c r="B87" s="44">
        <v>3</v>
      </c>
      <c r="C87" s="45" t="s">
        <v>366</v>
      </c>
      <c r="D87" s="46" t="s">
        <v>326</v>
      </c>
      <c r="E87" s="44" t="s">
        <v>359</v>
      </c>
      <c r="F87" s="44">
        <v>12</v>
      </c>
      <c r="G87" s="47">
        <f>IF($F87="","",Dashboard!$B$3+$F87-1)</f>
        <v>46305</v>
      </c>
      <c r="H87" s="47">
        <f>IF($T87="","",Dashboard!$B$3+$T87-1)</f>
        <v>46305</v>
      </c>
      <c r="I87" s="44">
        <v>1</v>
      </c>
      <c r="J87" s="48">
        <v>2.5</v>
      </c>
      <c r="K87" s="48"/>
      <c r="L87" s="46" t="s">
        <v>165</v>
      </c>
      <c r="M87" s="49">
        <f>IF($L87="Done",1,IF($L87="Doing",0.5,0))</f>
        <v>0</v>
      </c>
      <c r="N87" s="44"/>
      <c r="O87" s="46"/>
      <c r="P87" s="45" t="s">
        <v>367</v>
      </c>
      <c r="Q87" s="45"/>
      <c r="R87" s="43" t="s">
        <v>126</v>
      </c>
      <c r="S87" s="43" t="s">
        <v>48</v>
      </c>
      <c r="T87" s="44">
        <f>$F87+$I87-1</f>
        <v>12</v>
      </c>
      <c r="U87" s="46">
        <f>IF($L87="Deferred",0,$J87)</f>
        <v>2.5</v>
      </c>
      <c r="V87" s="46">
        <f>IF($L87="Deferred",0,$J87*$M87)</f>
        <v>0</v>
      </c>
      <c r="W87" s="46">
        <f>IF($L87="Deferred",0,N($K87))</f>
        <v>0</v>
      </c>
      <c r="X87" s="46">
        <f>$F87</f>
        <v>12</v>
      </c>
      <c r="Y87" s="46">
        <f>$T87</f>
        <v>12</v>
      </c>
    </row>
    <row r="88" spans="1:25" x14ac:dyDescent="0.3">
      <c r="A88" s="43" t="s">
        <v>368</v>
      </c>
      <c r="B88" s="44">
        <v>3</v>
      </c>
      <c r="C88" s="45" t="s">
        <v>369</v>
      </c>
      <c r="D88" s="46" t="s">
        <v>326</v>
      </c>
      <c r="E88" s="44" t="s">
        <v>359</v>
      </c>
      <c r="F88" s="44">
        <v>12</v>
      </c>
      <c r="G88" s="47">
        <f>IF($F88="","",Dashboard!$B$3+$F88-1)</f>
        <v>46305</v>
      </c>
      <c r="H88" s="47">
        <f>IF($T88="","",Dashboard!$B$3+$T88-1)</f>
        <v>46305</v>
      </c>
      <c r="I88" s="44">
        <v>1</v>
      </c>
      <c r="J88" s="48">
        <v>2.5</v>
      </c>
      <c r="K88" s="48"/>
      <c r="L88" s="46" t="s">
        <v>165</v>
      </c>
      <c r="M88" s="49">
        <f>IF($L88="Done",1,IF($L88="Doing",0.5,0))</f>
        <v>0</v>
      </c>
      <c r="N88" s="44"/>
      <c r="O88" s="46"/>
      <c r="P88" s="45" t="s">
        <v>370</v>
      </c>
      <c r="Q88" s="45"/>
      <c r="R88" s="43" t="s">
        <v>126</v>
      </c>
      <c r="S88" s="43" t="s">
        <v>48</v>
      </c>
      <c r="T88" s="44">
        <f>$F88+$I88-1</f>
        <v>12</v>
      </c>
      <c r="U88" s="46">
        <f>IF($L88="Deferred",0,$J88)</f>
        <v>2.5</v>
      </c>
      <c r="V88" s="46">
        <f>IF($L88="Deferred",0,$J88*$M88)</f>
        <v>0</v>
      </c>
      <c r="W88" s="46">
        <f>IF($L88="Deferred",0,N($K88))</f>
        <v>0</v>
      </c>
      <c r="X88" s="46">
        <f>$F88</f>
        <v>12</v>
      </c>
      <c r="Y88" s="46">
        <f>$T88</f>
        <v>12</v>
      </c>
    </row>
    <row r="89" spans="1:25" x14ac:dyDescent="0.3">
      <c r="A89" s="43" t="s">
        <v>371</v>
      </c>
      <c r="B89" s="44">
        <v>3</v>
      </c>
      <c r="C89" s="45" t="s">
        <v>372</v>
      </c>
      <c r="D89" s="46" t="s">
        <v>326</v>
      </c>
      <c r="E89" s="44" t="s">
        <v>359</v>
      </c>
      <c r="F89" s="44">
        <v>13</v>
      </c>
      <c r="G89" s="47">
        <f>IF($F89="","",Dashboard!$B$3+$F89-1)</f>
        <v>46306</v>
      </c>
      <c r="H89" s="47">
        <f>IF($T89="","",Dashboard!$B$3+$T89-1)</f>
        <v>46306</v>
      </c>
      <c r="I89" s="44">
        <v>1</v>
      </c>
      <c r="J89" s="48">
        <v>1.5</v>
      </c>
      <c r="K89" s="48"/>
      <c r="L89" s="46" t="s">
        <v>165</v>
      </c>
      <c r="M89" s="49">
        <f>IF($L89="Done",1,IF($L89="Doing",0.5,0))</f>
        <v>0</v>
      </c>
      <c r="N89" s="44"/>
      <c r="O89" s="46"/>
      <c r="P89" s="45" t="s">
        <v>373</v>
      </c>
      <c r="Q89" s="45"/>
      <c r="R89" s="43" t="s">
        <v>126</v>
      </c>
      <c r="S89" s="43" t="s">
        <v>48</v>
      </c>
      <c r="T89" s="44">
        <f>$F89+$I89-1</f>
        <v>13</v>
      </c>
      <c r="U89" s="46">
        <f>IF($L89="Deferred",0,$J89)</f>
        <v>1.5</v>
      </c>
      <c r="V89" s="46">
        <f>IF($L89="Deferred",0,$J89*$M89)</f>
        <v>0</v>
      </c>
      <c r="W89" s="46">
        <f>IF($L89="Deferred",0,N($K89))</f>
        <v>0</v>
      </c>
      <c r="X89" s="46">
        <f>$F89</f>
        <v>13</v>
      </c>
      <c r="Y89" s="46">
        <f>$T89</f>
        <v>13</v>
      </c>
    </row>
    <row r="90" spans="1:25" x14ac:dyDescent="0.3">
      <c r="A90" s="43" t="s">
        <v>374</v>
      </c>
      <c r="B90" s="44">
        <v>3</v>
      </c>
      <c r="C90" s="45" t="s">
        <v>375</v>
      </c>
      <c r="D90" s="46" t="s">
        <v>326</v>
      </c>
      <c r="E90" s="44" t="s">
        <v>359</v>
      </c>
      <c r="F90" s="44">
        <v>13</v>
      </c>
      <c r="G90" s="47">
        <f>IF($F90="","",Dashboard!$B$3+$F90-1)</f>
        <v>46306</v>
      </c>
      <c r="H90" s="47">
        <f>IF($T90="","",Dashboard!$B$3+$T90-1)</f>
        <v>46306</v>
      </c>
      <c r="I90" s="44">
        <v>1</v>
      </c>
      <c r="J90" s="48">
        <v>1.5</v>
      </c>
      <c r="K90" s="48"/>
      <c r="L90" s="46" t="s">
        <v>165</v>
      </c>
      <c r="M90" s="49">
        <f>IF($L90="Done",1,IF($L90="Doing",0.5,0))</f>
        <v>0</v>
      </c>
      <c r="N90" s="44"/>
      <c r="O90" s="46"/>
      <c r="P90" s="45" t="s">
        <v>376</v>
      </c>
      <c r="Q90" s="45"/>
      <c r="R90" s="43" t="s">
        <v>126</v>
      </c>
      <c r="S90" s="43" t="s">
        <v>48</v>
      </c>
      <c r="T90" s="44">
        <f>$F90+$I90-1</f>
        <v>13</v>
      </c>
      <c r="U90" s="46">
        <f>IF($L90="Deferred",0,$J90)</f>
        <v>1.5</v>
      </c>
      <c r="V90" s="46">
        <f>IF($L90="Deferred",0,$J90*$M90)</f>
        <v>0</v>
      </c>
      <c r="W90" s="46">
        <f>IF($L90="Deferred",0,N($K90))</f>
        <v>0</v>
      </c>
      <c r="X90" s="46">
        <f>$F90</f>
        <v>13</v>
      </c>
      <c r="Y90" s="46">
        <f>$T90</f>
        <v>13</v>
      </c>
    </row>
    <row r="91" spans="1:25" x14ac:dyDescent="0.3">
      <c r="A91" s="36" t="s">
        <v>127</v>
      </c>
      <c r="B91" s="37">
        <v>2</v>
      </c>
      <c r="C91" s="38" t="s">
        <v>377</v>
      </c>
      <c r="D91" s="39" t="s">
        <v>326</v>
      </c>
      <c r="E91" s="37"/>
      <c r="F91" s="37">
        <f>IFERROR(_xlfn.MINIFS($X$5:$X$144,$R$5:$R$144,$A91,$B$5:$B$144,3),"")</f>
        <v>13</v>
      </c>
      <c r="G91" s="40">
        <f>IF($F91="","",Dashboard!$B$3+$F91-1)</f>
        <v>46306</v>
      </c>
      <c r="H91" s="40">
        <f>IF($T91="","",Dashboard!$B$3+$T91-1)</f>
        <v>46306</v>
      </c>
      <c r="I91" s="37">
        <f>IFERROR($T91-$F91+1,"")</f>
        <v>1</v>
      </c>
      <c r="J91" s="41">
        <f>SUMIFS($U$5:$U$144,$R$5:$R$144,$A91,$B$5:$B$144,3)</f>
        <v>5</v>
      </c>
      <c r="K91" s="41">
        <f>SUMIFS($W$5:$W$144,$R$5:$R$144,$A91,$B$5:$B$144,3)</f>
        <v>0</v>
      </c>
      <c r="L91" s="39"/>
      <c r="M91" s="42">
        <f>IFERROR(SUMIFS($V$5:$V$144,$R$5:$R$144,$A91,$B$5:$B$144,3)/SUMIFS($U$5:$U$144,$R$5:$R$144,$A91,$B$5:$B$144,3),0)</f>
        <v>0</v>
      </c>
      <c r="N91" s="37"/>
      <c r="O91" s="39"/>
      <c r="P91" s="38"/>
      <c r="Q91" s="38"/>
      <c r="R91" s="36" t="s">
        <v>48</v>
      </c>
      <c r="S91" s="36" t="s">
        <v>48</v>
      </c>
      <c r="T91" s="37">
        <f>IFERROR(_xlfn.MAXIFS($Y$5:$Y$144,$R$5:$R$144,$A91,$B$5:$B$144,3),"")</f>
        <v>13</v>
      </c>
      <c r="U91" s="39"/>
      <c r="V91" s="39"/>
      <c r="W91" s="39"/>
      <c r="X91" s="39"/>
      <c r="Y91" s="39"/>
    </row>
    <row r="92" spans="1:25" x14ac:dyDescent="0.3">
      <c r="A92" s="43" t="s">
        <v>378</v>
      </c>
      <c r="B92" s="44">
        <v>3</v>
      </c>
      <c r="C92" s="45" t="s">
        <v>379</v>
      </c>
      <c r="D92" s="46" t="s">
        <v>326</v>
      </c>
      <c r="E92" s="44" t="s">
        <v>359</v>
      </c>
      <c r="F92" s="44">
        <v>13</v>
      </c>
      <c r="G92" s="47">
        <f>IF($F92="","",Dashboard!$B$3+$F92-1)</f>
        <v>46306</v>
      </c>
      <c r="H92" s="47">
        <f>IF($T92="","",Dashboard!$B$3+$T92-1)</f>
        <v>46306</v>
      </c>
      <c r="I92" s="44">
        <v>1</v>
      </c>
      <c r="J92" s="48">
        <v>1.5</v>
      </c>
      <c r="K92" s="48"/>
      <c r="L92" s="46" t="s">
        <v>165</v>
      </c>
      <c r="M92" s="49">
        <f>IF($L92="Done",1,IF($L92="Doing",0.5,0))</f>
        <v>0</v>
      </c>
      <c r="N92" s="44"/>
      <c r="O92" s="46"/>
      <c r="P92" s="45" t="s">
        <v>380</v>
      </c>
      <c r="Q92" s="45"/>
      <c r="R92" s="43" t="s">
        <v>127</v>
      </c>
      <c r="S92" s="43" t="s">
        <v>48</v>
      </c>
      <c r="T92" s="44">
        <f>$F92+$I92-1</f>
        <v>13</v>
      </c>
      <c r="U92" s="46">
        <f>IF($L92="Deferred",0,$J92)</f>
        <v>1.5</v>
      </c>
      <c r="V92" s="46">
        <f>IF($L92="Deferred",0,$J92*$M92)</f>
        <v>0</v>
      </c>
      <c r="W92" s="46">
        <f>IF($L92="Deferred",0,N($K92))</f>
        <v>0</v>
      </c>
      <c r="X92" s="46">
        <f>$F92</f>
        <v>13</v>
      </c>
      <c r="Y92" s="46">
        <f>$T92</f>
        <v>13</v>
      </c>
    </row>
    <row r="93" spans="1:25" x14ac:dyDescent="0.3">
      <c r="A93" s="43" t="s">
        <v>381</v>
      </c>
      <c r="B93" s="44">
        <v>3</v>
      </c>
      <c r="C93" s="45" t="s">
        <v>382</v>
      </c>
      <c r="D93" s="46" t="s">
        <v>326</v>
      </c>
      <c r="E93" s="44" t="s">
        <v>359</v>
      </c>
      <c r="F93" s="44">
        <v>13</v>
      </c>
      <c r="G93" s="47">
        <f>IF($F93="","",Dashboard!$B$3+$F93-1)</f>
        <v>46306</v>
      </c>
      <c r="H93" s="47">
        <f>IF($T93="","",Dashboard!$B$3+$T93-1)</f>
        <v>46306</v>
      </c>
      <c r="I93" s="44">
        <v>1</v>
      </c>
      <c r="J93" s="48">
        <v>1.5</v>
      </c>
      <c r="K93" s="48"/>
      <c r="L93" s="46" t="s">
        <v>165</v>
      </c>
      <c r="M93" s="49">
        <f>IF($L93="Done",1,IF($L93="Doing",0.5,0))</f>
        <v>0</v>
      </c>
      <c r="N93" s="44"/>
      <c r="O93" s="46"/>
      <c r="P93" s="45" t="s">
        <v>383</v>
      </c>
      <c r="Q93" s="45"/>
      <c r="R93" s="43" t="s">
        <v>127</v>
      </c>
      <c r="S93" s="43" t="s">
        <v>48</v>
      </c>
      <c r="T93" s="44">
        <f>$F93+$I93-1</f>
        <v>13</v>
      </c>
      <c r="U93" s="46">
        <f>IF($L93="Deferred",0,$J93)</f>
        <v>1.5</v>
      </c>
      <c r="V93" s="46">
        <f>IF($L93="Deferred",0,$J93*$M93)</f>
        <v>0</v>
      </c>
      <c r="W93" s="46">
        <f>IF($L93="Deferred",0,N($K93))</f>
        <v>0</v>
      </c>
      <c r="X93" s="46">
        <f>$F93</f>
        <v>13</v>
      </c>
      <c r="Y93" s="46">
        <f>$T93</f>
        <v>13</v>
      </c>
    </row>
    <row r="94" spans="1:25" x14ac:dyDescent="0.3">
      <c r="A94" s="43" t="s">
        <v>384</v>
      </c>
      <c r="B94" s="44">
        <v>3</v>
      </c>
      <c r="C94" s="45" t="s">
        <v>385</v>
      </c>
      <c r="D94" s="46" t="s">
        <v>326</v>
      </c>
      <c r="E94" s="44" t="s">
        <v>359</v>
      </c>
      <c r="F94" s="44">
        <v>13</v>
      </c>
      <c r="G94" s="47">
        <f>IF($F94="","",Dashboard!$B$3+$F94-1)</f>
        <v>46306</v>
      </c>
      <c r="H94" s="47">
        <f>IF($T94="","",Dashboard!$B$3+$T94-1)</f>
        <v>46306</v>
      </c>
      <c r="I94" s="44">
        <v>1</v>
      </c>
      <c r="J94" s="48">
        <v>2</v>
      </c>
      <c r="K94" s="48"/>
      <c r="L94" s="46" t="s">
        <v>165</v>
      </c>
      <c r="M94" s="49">
        <f>IF($L94="Done",1,IF($L94="Doing",0.5,0))</f>
        <v>0</v>
      </c>
      <c r="N94" s="44"/>
      <c r="O94" s="46"/>
      <c r="P94" s="45" t="s">
        <v>386</v>
      </c>
      <c r="Q94" s="45"/>
      <c r="R94" s="43" t="s">
        <v>127</v>
      </c>
      <c r="S94" s="43" t="s">
        <v>48</v>
      </c>
      <c r="T94" s="44">
        <f>$F94+$I94-1</f>
        <v>13</v>
      </c>
      <c r="U94" s="46">
        <f>IF($L94="Deferred",0,$J94)</f>
        <v>2</v>
      </c>
      <c r="V94" s="46">
        <f>IF($L94="Deferred",0,$J94*$M94)</f>
        <v>0</v>
      </c>
      <c r="W94" s="46">
        <f>IF($L94="Deferred",0,N($K94))</f>
        <v>0</v>
      </c>
      <c r="X94" s="46">
        <f>$F94</f>
        <v>13</v>
      </c>
      <c r="Y94" s="46">
        <f>$T94</f>
        <v>13</v>
      </c>
    </row>
    <row r="95" spans="1:25" x14ac:dyDescent="0.3">
      <c r="A95" s="29" t="s">
        <v>50</v>
      </c>
      <c r="B95" s="30">
        <v>1</v>
      </c>
      <c r="C95" s="31" t="s">
        <v>387</v>
      </c>
      <c r="D95" s="32" t="s">
        <v>387</v>
      </c>
      <c r="E95" s="30"/>
      <c r="F95" s="30">
        <f>IFERROR(_xlfn.MINIFS($X$5:$X$144,$S$5:$S$144,$A95,$B$5:$B$144,3),"")</f>
        <v>14</v>
      </c>
      <c r="G95" s="33">
        <f>IF($F95="","",Dashboard!$B$3+$F95-1)</f>
        <v>46307</v>
      </c>
      <c r="H95" s="33">
        <f>IF($T95="","",Dashboard!$B$3+$T95-1)</f>
        <v>46307</v>
      </c>
      <c r="I95" s="30">
        <f>IFERROR($T95-$F95+1,"")</f>
        <v>1</v>
      </c>
      <c r="J95" s="34">
        <f>SUMIFS($U$5:$U$144,$S$5:$S$144,$A95,$B$5:$B$144,3)</f>
        <v>9.5</v>
      </c>
      <c r="K95" s="34">
        <f>SUMIFS($W$5:$W$144,$S$5:$S$144,$A95,$B$5:$B$144,3)</f>
        <v>0</v>
      </c>
      <c r="L95" s="32"/>
      <c r="M95" s="35">
        <f>IFERROR(SUMIFS($V$5:$V$144,$S$5:$S$144,$A95,$B$5:$B$144,3)/SUMIFS($U$5:$U$144,$S$5:$S$144,$A95,$B$5:$B$144,3),0)</f>
        <v>0</v>
      </c>
      <c r="N95" s="30"/>
      <c r="O95" s="32"/>
      <c r="P95" s="31"/>
      <c r="Q95" s="31"/>
      <c r="R95" s="29"/>
      <c r="S95" s="29"/>
      <c r="T95" s="30">
        <f>IFERROR(_xlfn.MAXIFS($Y$5:$Y$144,$S$5:$S$144,$A95,$B$5:$B$144,3),"")</f>
        <v>14</v>
      </c>
      <c r="U95" s="32"/>
      <c r="V95" s="32"/>
      <c r="W95" s="32"/>
      <c r="X95" s="32"/>
      <c r="Y95" s="32"/>
    </row>
    <row r="96" spans="1:25" x14ac:dyDescent="0.3">
      <c r="A96" s="36" t="s">
        <v>128</v>
      </c>
      <c r="B96" s="37">
        <v>2</v>
      </c>
      <c r="C96" s="38" t="s">
        <v>388</v>
      </c>
      <c r="D96" s="39" t="s">
        <v>387</v>
      </c>
      <c r="E96" s="37"/>
      <c r="F96" s="37">
        <f>IFERROR(_xlfn.MINIFS($X$5:$X$144,$R$5:$R$144,$A96,$B$5:$B$144,3),"")</f>
        <v>14</v>
      </c>
      <c r="G96" s="40">
        <f>IF($F96="","",Dashboard!$B$3+$F96-1)</f>
        <v>46307</v>
      </c>
      <c r="H96" s="40">
        <f>IF($T96="","",Dashboard!$B$3+$T96-1)</f>
        <v>46307</v>
      </c>
      <c r="I96" s="37">
        <f>IFERROR($T96-$F96+1,"")</f>
        <v>1</v>
      </c>
      <c r="J96" s="41">
        <f>SUMIFS($U$5:$U$144,$R$5:$R$144,$A96,$B$5:$B$144,3)</f>
        <v>2.5</v>
      </c>
      <c r="K96" s="41">
        <f>SUMIFS($W$5:$W$144,$R$5:$R$144,$A96,$B$5:$B$144,3)</f>
        <v>0</v>
      </c>
      <c r="L96" s="39"/>
      <c r="M96" s="42">
        <f>IFERROR(SUMIFS($V$5:$V$144,$R$5:$R$144,$A96,$B$5:$B$144,3)/SUMIFS($U$5:$U$144,$R$5:$R$144,$A96,$B$5:$B$144,3),0)</f>
        <v>0</v>
      </c>
      <c r="N96" s="37"/>
      <c r="O96" s="39"/>
      <c r="P96" s="38"/>
      <c r="Q96" s="38"/>
      <c r="R96" s="36" t="s">
        <v>50</v>
      </c>
      <c r="S96" s="36" t="s">
        <v>50</v>
      </c>
      <c r="T96" s="37">
        <f>IFERROR(_xlfn.MAXIFS($Y$5:$Y$144,$R$5:$R$144,$A96,$B$5:$B$144,3),"")</f>
        <v>14</v>
      </c>
      <c r="U96" s="39"/>
      <c r="V96" s="39"/>
      <c r="W96" s="39"/>
      <c r="X96" s="39"/>
      <c r="Y96" s="39"/>
    </row>
    <row r="97" spans="1:25" x14ac:dyDescent="0.3">
      <c r="A97" s="43" t="s">
        <v>389</v>
      </c>
      <c r="B97" s="44">
        <v>3</v>
      </c>
      <c r="C97" s="45" t="s">
        <v>390</v>
      </c>
      <c r="D97" s="46" t="s">
        <v>387</v>
      </c>
      <c r="E97" s="44" t="s">
        <v>391</v>
      </c>
      <c r="F97" s="44">
        <v>14</v>
      </c>
      <c r="G97" s="47">
        <f>IF($F97="","",Dashboard!$B$3+$F97-1)</f>
        <v>46307</v>
      </c>
      <c r="H97" s="47">
        <f>IF($T97="","",Dashboard!$B$3+$T97-1)</f>
        <v>46307</v>
      </c>
      <c r="I97" s="44">
        <v>1</v>
      </c>
      <c r="J97" s="48">
        <v>2.5</v>
      </c>
      <c r="K97" s="48"/>
      <c r="L97" s="46" t="s">
        <v>165</v>
      </c>
      <c r="M97" s="49">
        <f>IF($L97="Done",1,IF($L97="Doing",0.5,0))</f>
        <v>0</v>
      </c>
      <c r="N97" s="44"/>
      <c r="O97" s="46"/>
      <c r="P97" s="45" t="s">
        <v>392</v>
      </c>
      <c r="Q97" s="45"/>
      <c r="R97" s="43" t="s">
        <v>128</v>
      </c>
      <c r="S97" s="43" t="s">
        <v>50</v>
      </c>
      <c r="T97" s="44">
        <f>$F97+$I97-1</f>
        <v>14</v>
      </c>
      <c r="U97" s="46">
        <f>IF($L97="Deferred",0,$J97)</f>
        <v>2.5</v>
      </c>
      <c r="V97" s="46">
        <f>IF($L97="Deferred",0,$J97*$M97)</f>
        <v>0</v>
      </c>
      <c r="W97" s="46">
        <f>IF($L97="Deferred",0,N($K97))</f>
        <v>0</v>
      </c>
      <c r="X97" s="46">
        <f>$F97</f>
        <v>14</v>
      </c>
      <c r="Y97" s="46">
        <f>$T97</f>
        <v>14</v>
      </c>
    </row>
    <row r="98" spans="1:25" x14ac:dyDescent="0.3">
      <c r="A98" s="36" t="s">
        <v>129</v>
      </c>
      <c r="B98" s="37">
        <v>2</v>
      </c>
      <c r="C98" s="38" t="s">
        <v>393</v>
      </c>
      <c r="D98" s="39" t="s">
        <v>387</v>
      </c>
      <c r="E98" s="37"/>
      <c r="F98" s="37">
        <f>IFERROR(_xlfn.MINIFS($X$5:$X$144,$R$5:$R$144,$A98,$B$5:$B$144,3),"")</f>
        <v>14</v>
      </c>
      <c r="G98" s="40">
        <f>IF($F98="","",Dashboard!$B$3+$F98-1)</f>
        <v>46307</v>
      </c>
      <c r="H98" s="40">
        <f>IF($T98="","",Dashboard!$B$3+$T98-1)</f>
        <v>46307</v>
      </c>
      <c r="I98" s="37">
        <f>IFERROR($T98-$F98+1,"")</f>
        <v>1</v>
      </c>
      <c r="J98" s="41">
        <f>SUMIFS($U$5:$U$144,$R$5:$R$144,$A98,$B$5:$B$144,3)</f>
        <v>5</v>
      </c>
      <c r="K98" s="41">
        <f>SUMIFS($W$5:$W$144,$R$5:$R$144,$A98,$B$5:$B$144,3)</f>
        <v>0</v>
      </c>
      <c r="L98" s="39"/>
      <c r="M98" s="42">
        <f>IFERROR(SUMIFS($V$5:$V$144,$R$5:$R$144,$A98,$B$5:$B$144,3)/SUMIFS($U$5:$U$144,$R$5:$R$144,$A98,$B$5:$B$144,3),0)</f>
        <v>0</v>
      </c>
      <c r="N98" s="37"/>
      <c r="O98" s="39"/>
      <c r="P98" s="38"/>
      <c r="Q98" s="38"/>
      <c r="R98" s="36" t="s">
        <v>50</v>
      </c>
      <c r="S98" s="36" t="s">
        <v>50</v>
      </c>
      <c r="T98" s="37">
        <f>IFERROR(_xlfn.MAXIFS($Y$5:$Y$144,$R$5:$R$144,$A98,$B$5:$B$144,3),"")</f>
        <v>14</v>
      </c>
      <c r="U98" s="39"/>
      <c r="V98" s="39"/>
      <c r="W98" s="39"/>
      <c r="X98" s="39"/>
      <c r="Y98" s="39"/>
    </row>
    <row r="99" spans="1:25" x14ac:dyDescent="0.3">
      <c r="A99" s="43" t="s">
        <v>394</v>
      </c>
      <c r="B99" s="44">
        <v>3</v>
      </c>
      <c r="C99" s="45" t="s">
        <v>395</v>
      </c>
      <c r="D99" s="46" t="s">
        <v>387</v>
      </c>
      <c r="E99" s="44" t="s">
        <v>391</v>
      </c>
      <c r="F99" s="44">
        <v>14</v>
      </c>
      <c r="G99" s="47">
        <f>IF($F99="","",Dashboard!$B$3+$F99-1)</f>
        <v>46307</v>
      </c>
      <c r="H99" s="47">
        <f>IF($T99="","",Dashboard!$B$3+$T99-1)</f>
        <v>46307</v>
      </c>
      <c r="I99" s="44">
        <v>1</v>
      </c>
      <c r="J99" s="48">
        <v>1.5</v>
      </c>
      <c r="K99" s="48"/>
      <c r="L99" s="46" t="s">
        <v>165</v>
      </c>
      <c r="M99" s="49">
        <f>IF($L99="Done",1,IF($L99="Doing",0.5,0))</f>
        <v>0</v>
      </c>
      <c r="N99" s="44"/>
      <c r="O99" s="46"/>
      <c r="P99" s="45" t="s">
        <v>396</v>
      </c>
      <c r="Q99" s="45"/>
      <c r="R99" s="43" t="s">
        <v>129</v>
      </c>
      <c r="S99" s="43" t="s">
        <v>50</v>
      </c>
      <c r="T99" s="44">
        <f>$F99+$I99-1</f>
        <v>14</v>
      </c>
      <c r="U99" s="46">
        <f>IF($L99="Deferred",0,$J99)</f>
        <v>1.5</v>
      </c>
      <c r="V99" s="46">
        <f>IF($L99="Deferred",0,$J99*$M99)</f>
        <v>0</v>
      </c>
      <c r="W99" s="46">
        <f>IF($L99="Deferred",0,N($K99))</f>
        <v>0</v>
      </c>
      <c r="X99" s="46">
        <f>$F99</f>
        <v>14</v>
      </c>
      <c r="Y99" s="46">
        <f>$T99</f>
        <v>14</v>
      </c>
    </row>
    <row r="100" spans="1:25" ht="26.4" x14ac:dyDescent="0.3">
      <c r="A100" s="43" t="s">
        <v>397</v>
      </c>
      <c r="B100" s="44">
        <v>3</v>
      </c>
      <c r="C100" s="45" t="s">
        <v>398</v>
      </c>
      <c r="D100" s="46" t="s">
        <v>387</v>
      </c>
      <c r="E100" s="44" t="s">
        <v>391</v>
      </c>
      <c r="F100" s="44">
        <v>14</v>
      </c>
      <c r="G100" s="47">
        <f>IF($F100="","",Dashboard!$B$3+$F100-1)</f>
        <v>46307</v>
      </c>
      <c r="H100" s="47">
        <f>IF($T100="","",Dashboard!$B$3+$T100-1)</f>
        <v>46307</v>
      </c>
      <c r="I100" s="44">
        <v>1</v>
      </c>
      <c r="J100" s="48">
        <v>2</v>
      </c>
      <c r="K100" s="48"/>
      <c r="L100" s="46" t="s">
        <v>165</v>
      </c>
      <c r="M100" s="49">
        <f>IF($L100="Done",1,IF($L100="Doing",0.5,0))</f>
        <v>0</v>
      </c>
      <c r="N100" s="44"/>
      <c r="O100" s="46"/>
      <c r="P100" s="45" t="s">
        <v>399</v>
      </c>
      <c r="Q100" s="45"/>
      <c r="R100" s="43" t="s">
        <v>129</v>
      </c>
      <c r="S100" s="43" t="s">
        <v>50</v>
      </c>
      <c r="T100" s="44">
        <f>$F100+$I100-1</f>
        <v>14</v>
      </c>
      <c r="U100" s="46">
        <f>IF($L100="Deferred",0,$J100)</f>
        <v>2</v>
      </c>
      <c r="V100" s="46">
        <f>IF($L100="Deferred",0,$J100*$M100)</f>
        <v>0</v>
      </c>
      <c r="W100" s="46">
        <f>IF($L100="Deferred",0,N($K100))</f>
        <v>0</v>
      </c>
      <c r="X100" s="46">
        <f>$F100</f>
        <v>14</v>
      </c>
      <c r="Y100" s="46">
        <f>$T100</f>
        <v>14</v>
      </c>
    </row>
    <row r="101" spans="1:25" x14ac:dyDescent="0.3">
      <c r="A101" s="43" t="s">
        <v>400</v>
      </c>
      <c r="B101" s="44">
        <v>3</v>
      </c>
      <c r="C101" s="45" t="s">
        <v>401</v>
      </c>
      <c r="D101" s="46" t="s">
        <v>387</v>
      </c>
      <c r="E101" s="44" t="s">
        <v>391</v>
      </c>
      <c r="F101" s="44">
        <v>14</v>
      </c>
      <c r="G101" s="47">
        <f>IF($F101="","",Dashboard!$B$3+$F101-1)</f>
        <v>46307</v>
      </c>
      <c r="H101" s="47">
        <f>IF($T101="","",Dashboard!$B$3+$T101-1)</f>
        <v>46307</v>
      </c>
      <c r="I101" s="44">
        <v>1</v>
      </c>
      <c r="J101" s="48">
        <v>1.5</v>
      </c>
      <c r="K101" s="48"/>
      <c r="L101" s="46" t="s">
        <v>165</v>
      </c>
      <c r="M101" s="49">
        <f>IF($L101="Done",1,IF($L101="Doing",0.5,0))</f>
        <v>0</v>
      </c>
      <c r="N101" s="44"/>
      <c r="O101" s="46"/>
      <c r="P101" s="45" t="s">
        <v>402</v>
      </c>
      <c r="Q101" s="45"/>
      <c r="R101" s="43" t="s">
        <v>129</v>
      </c>
      <c r="S101" s="43" t="s">
        <v>50</v>
      </c>
      <c r="T101" s="44">
        <f>$F101+$I101-1</f>
        <v>14</v>
      </c>
      <c r="U101" s="46">
        <f>IF($L101="Deferred",0,$J101)</f>
        <v>1.5</v>
      </c>
      <c r="V101" s="46">
        <f>IF($L101="Deferred",0,$J101*$M101)</f>
        <v>0</v>
      </c>
      <c r="W101" s="46">
        <f>IF($L101="Deferred",0,N($K101))</f>
        <v>0</v>
      </c>
      <c r="X101" s="46">
        <f>$F101</f>
        <v>14</v>
      </c>
      <c r="Y101" s="46">
        <f>$T101</f>
        <v>14</v>
      </c>
    </row>
    <row r="102" spans="1:25" x14ac:dyDescent="0.3">
      <c r="A102" s="36" t="s">
        <v>130</v>
      </c>
      <c r="B102" s="37">
        <v>2</v>
      </c>
      <c r="C102" s="38" t="s">
        <v>403</v>
      </c>
      <c r="D102" s="39" t="s">
        <v>387</v>
      </c>
      <c r="E102" s="37"/>
      <c r="F102" s="37">
        <f>IFERROR(_xlfn.MINIFS($X$5:$X$144,$R$5:$R$144,$A102,$B$5:$B$144,3),"")</f>
        <v>14</v>
      </c>
      <c r="G102" s="40">
        <f>IF($F102="","",Dashboard!$B$3+$F102-1)</f>
        <v>46307</v>
      </c>
      <c r="H102" s="40">
        <f>IF($T102="","",Dashboard!$B$3+$T102-1)</f>
        <v>46307</v>
      </c>
      <c r="I102" s="37">
        <f>IFERROR($T102-$F102+1,"")</f>
        <v>1</v>
      </c>
      <c r="J102" s="41">
        <f>SUMIFS($U$5:$U$144,$R$5:$R$144,$A102,$B$5:$B$144,3)</f>
        <v>2</v>
      </c>
      <c r="K102" s="41">
        <f>SUMIFS($W$5:$W$144,$R$5:$R$144,$A102,$B$5:$B$144,3)</f>
        <v>0</v>
      </c>
      <c r="L102" s="39"/>
      <c r="M102" s="42">
        <f>IFERROR(SUMIFS($V$5:$V$144,$R$5:$R$144,$A102,$B$5:$B$144,3)/SUMIFS($U$5:$U$144,$R$5:$R$144,$A102,$B$5:$B$144,3),0)</f>
        <v>0</v>
      </c>
      <c r="N102" s="37"/>
      <c r="O102" s="39"/>
      <c r="P102" s="38"/>
      <c r="Q102" s="38"/>
      <c r="R102" s="36" t="s">
        <v>50</v>
      </c>
      <c r="S102" s="36" t="s">
        <v>50</v>
      </c>
      <c r="T102" s="37">
        <f>IFERROR(_xlfn.MAXIFS($Y$5:$Y$144,$R$5:$R$144,$A102,$B$5:$B$144,3),"")</f>
        <v>14</v>
      </c>
      <c r="U102" s="39"/>
      <c r="V102" s="39"/>
      <c r="W102" s="39"/>
      <c r="X102" s="39"/>
      <c r="Y102" s="39"/>
    </row>
    <row r="103" spans="1:25" x14ac:dyDescent="0.3">
      <c r="A103" s="43" t="s">
        <v>404</v>
      </c>
      <c r="B103" s="44">
        <v>3</v>
      </c>
      <c r="C103" s="45" t="s">
        <v>405</v>
      </c>
      <c r="D103" s="46" t="s">
        <v>387</v>
      </c>
      <c r="E103" s="44" t="s">
        <v>359</v>
      </c>
      <c r="F103" s="44">
        <v>14</v>
      </c>
      <c r="G103" s="47">
        <f>IF($F103="","",Dashboard!$B$3+$F103-1)</f>
        <v>46307</v>
      </c>
      <c r="H103" s="47">
        <f>IF($T103="","",Dashboard!$B$3+$T103-1)</f>
        <v>46307</v>
      </c>
      <c r="I103" s="44">
        <v>1</v>
      </c>
      <c r="J103" s="48">
        <v>2</v>
      </c>
      <c r="K103" s="48"/>
      <c r="L103" s="46" t="s">
        <v>165</v>
      </c>
      <c r="M103" s="49">
        <f>IF($L103="Done",1,IF($L103="Doing",0.5,0))</f>
        <v>0</v>
      </c>
      <c r="N103" s="44" t="s">
        <v>71</v>
      </c>
      <c r="O103" s="46"/>
      <c r="P103" s="45" t="s">
        <v>406</v>
      </c>
      <c r="Q103" s="45"/>
      <c r="R103" s="43" t="s">
        <v>130</v>
      </c>
      <c r="S103" s="43" t="s">
        <v>50</v>
      </c>
      <c r="T103" s="44">
        <f>$F103+$I103-1</f>
        <v>14</v>
      </c>
      <c r="U103" s="46">
        <f>IF($L103="Deferred",0,$J103)</f>
        <v>2</v>
      </c>
      <c r="V103" s="46">
        <f>IF($L103="Deferred",0,$J103*$M103)</f>
        <v>0</v>
      </c>
      <c r="W103" s="46">
        <f>IF($L103="Deferred",0,N($K103))</f>
        <v>0</v>
      </c>
      <c r="X103" s="46">
        <f>$F103</f>
        <v>14</v>
      </c>
      <c r="Y103" s="46">
        <f>$T103</f>
        <v>14</v>
      </c>
    </row>
    <row r="104" spans="1:25" x14ac:dyDescent="0.3">
      <c r="A104" s="29" t="s">
        <v>52</v>
      </c>
      <c r="B104" s="30">
        <v>1</v>
      </c>
      <c r="C104" s="31" t="s">
        <v>407</v>
      </c>
      <c r="D104" s="32" t="s">
        <v>407</v>
      </c>
      <c r="E104" s="30"/>
      <c r="F104" s="30">
        <f>IFERROR(_xlfn.MINIFS($X$5:$X$144,$S$5:$S$144,$A104,$B$5:$B$144,3),"")</f>
        <v>15</v>
      </c>
      <c r="G104" s="33">
        <f>IF($F104="","",Dashboard!$B$3+$F104-1)</f>
        <v>46308</v>
      </c>
      <c r="H104" s="33">
        <f>IF($T104="","",Dashboard!$B$3+$T104-1)</f>
        <v>46311</v>
      </c>
      <c r="I104" s="30">
        <f>IFERROR($T104-$F104+1,"")</f>
        <v>4</v>
      </c>
      <c r="J104" s="34">
        <f>SUMIFS($U$5:$U$144,$S$5:$S$144,$A104,$B$5:$B$144,3)</f>
        <v>32</v>
      </c>
      <c r="K104" s="34">
        <f>SUMIFS($W$5:$W$144,$S$5:$S$144,$A104,$B$5:$B$144,3)</f>
        <v>0</v>
      </c>
      <c r="L104" s="32"/>
      <c r="M104" s="35">
        <f>IFERROR(SUMIFS($V$5:$V$144,$S$5:$S$144,$A104,$B$5:$B$144,3)/SUMIFS($U$5:$U$144,$S$5:$S$144,$A104,$B$5:$B$144,3),0)</f>
        <v>0</v>
      </c>
      <c r="N104" s="30"/>
      <c r="O104" s="32"/>
      <c r="P104" s="31"/>
      <c r="Q104" s="31"/>
      <c r="R104" s="29"/>
      <c r="S104" s="29"/>
      <c r="T104" s="30">
        <f>IFERROR(_xlfn.MAXIFS($Y$5:$Y$144,$S$5:$S$144,$A104,$B$5:$B$144,3),"")</f>
        <v>18</v>
      </c>
      <c r="U104" s="32"/>
      <c r="V104" s="32"/>
      <c r="W104" s="32"/>
      <c r="X104" s="32"/>
      <c r="Y104" s="32"/>
    </row>
    <row r="105" spans="1:25" x14ac:dyDescent="0.3">
      <c r="A105" s="36" t="s">
        <v>131</v>
      </c>
      <c r="B105" s="37">
        <v>2</v>
      </c>
      <c r="C105" s="38" t="s">
        <v>408</v>
      </c>
      <c r="D105" s="39" t="s">
        <v>407</v>
      </c>
      <c r="E105" s="37"/>
      <c r="F105" s="37">
        <f>IFERROR(_xlfn.MINIFS($X$5:$X$144,$R$5:$R$144,$A105,$B$5:$B$144,3),"")</f>
        <v>15</v>
      </c>
      <c r="G105" s="40">
        <f>IF($F105="","",Dashboard!$B$3+$F105-1)</f>
        <v>46308</v>
      </c>
      <c r="H105" s="40">
        <f>IF($T105="","",Dashboard!$B$3+$T105-1)</f>
        <v>46308</v>
      </c>
      <c r="I105" s="37">
        <f>IFERROR($T105-$F105+1,"")</f>
        <v>1</v>
      </c>
      <c r="J105" s="41">
        <f>SUMIFS($U$5:$U$144,$R$5:$R$144,$A105,$B$5:$B$144,3)</f>
        <v>8</v>
      </c>
      <c r="K105" s="41">
        <f>SUMIFS($W$5:$W$144,$R$5:$R$144,$A105,$B$5:$B$144,3)</f>
        <v>0</v>
      </c>
      <c r="L105" s="39"/>
      <c r="M105" s="42">
        <f>IFERROR(SUMIFS($V$5:$V$144,$R$5:$R$144,$A105,$B$5:$B$144,3)/SUMIFS($U$5:$U$144,$R$5:$R$144,$A105,$B$5:$B$144,3),0)</f>
        <v>0</v>
      </c>
      <c r="N105" s="37"/>
      <c r="O105" s="39"/>
      <c r="P105" s="38"/>
      <c r="Q105" s="38"/>
      <c r="R105" s="36" t="s">
        <v>52</v>
      </c>
      <c r="S105" s="36" t="s">
        <v>52</v>
      </c>
      <c r="T105" s="37">
        <f>IFERROR(_xlfn.MAXIFS($Y$5:$Y$144,$R$5:$R$144,$A105,$B$5:$B$144,3),"")</f>
        <v>15</v>
      </c>
      <c r="U105" s="39"/>
      <c r="V105" s="39"/>
      <c r="W105" s="39"/>
      <c r="X105" s="39"/>
      <c r="Y105" s="39"/>
    </row>
    <row r="106" spans="1:25" x14ac:dyDescent="0.3">
      <c r="A106" s="43" t="s">
        <v>409</v>
      </c>
      <c r="B106" s="44">
        <v>3</v>
      </c>
      <c r="C106" s="45" t="s">
        <v>410</v>
      </c>
      <c r="D106" s="46" t="s">
        <v>407</v>
      </c>
      <c r="E106" s="44" t="s">
        <v>351</v>
      </c>
      <c r="F106" s="44">
        <v>15</v>
      </c>
      <c r="G106" s="47">
        <f>IF($F106="","",Dashboard!$B$3+$F106-1)</f>
        <v>46308</v>
      </c>
      <c r="H106" s="47">
        <f>IF($T106="","",Dashboard!$B$3+$T106-1)</f>
        <v>46308</v>
      </c>
      <c r="I106" s="44">
        <v>1</v>
      </c>
      <c r="J106" s="48">
        <v>3</v>
      </c>
      <c r="K106" s="48"/>
      <c r="L106" s="46" t="s">
        <v>165</v>
      </c>
      <c r="M106" s="49">
        <f>IF($L106="Done",1,IF($L106="Doing",0.5,0))</f>
        <v>0</v>
      </c>
      <c r="N106" s="44"/>
      <c r="O106" s="46"/>
      <c r="P106" s="45" t="s">
        <v>411</v>
      </c>
      <c r="Q106" s="45"/>
      <c r="R106" s="43" t="s">
        <v>131</v>
      </c>
      <c r="S106" s="43" t="s">
        <v>52</v>
      </c>
      <c r="T106" s="44">
        <f>$F106+$I106-1</f>
        <v>15</v>
      </c>
      <c r="U106" s="46">
        <f>IF($L106="Deferred",0,$J106)</f>
        <v>3</v>
      </c>
      <c r="V106" s="46">
        <f>IF($L106="Deferred",0,$J106*$M106)</f>
        <v>0</v>
      </c>
      <c r="W106" s="46">
        <f>IF($L106="Deferred",0,N($K106))</f>
        <v>0</v>
      </c>
      <c r="X106" s="46">
        <f>$F106</f>
        <v>15</v>
      </c>
      <c r="Y106" s="46">
        <f>$T106</f>
        <v>15</v>
      </c>
    </row>
    <row r="107" spans="1:25" x14ac:dyDescent="0.3">
      <c r="A107" s="43" t="s">
        <v>412</v>
      </c>
      <c r="B107" s="44">
        <v>3</v>
      </c>
      <c r="C107" s="45" t="s">
        <v>413</v>
      </c>
      <c r="D107" s="46" t="s">
        <v>407</v>
      </c>
      <c r="E107" s="44" t="s">
        <v>250</v>
      </c>
      <c r="F107" s="44">
        <v>15</v>
      </c>
      <c r="G107" s="47">
        <f>IF($F107="","",Dashboard!$B$3+$F107-1)</f>
        <v>46308</v>
      </c>
      <c r="H107" s="47">
        <f>IF($T107="","",Dashboard!$B$3+$T107-1)</f>
        <v>46308</v>
      </c>
      <c r="I107" s="44">
        <v>1</v>
      </c>
      <c r="J107" s="48">
        <v>2.5</v>
      </c>
      <c r="K107" s="48"/>
      <c r="L107" s="46" t="s">
        <v>165</v>
      </c>
      <c r="M107" s="49">
        <f>IF($L107="Done",1,IF($L107="Doing",0.5,0))</f>
        <v>0</v>
      </c>
      <c r="N107" s="44"/>
      <c r="O107" s="46"/>
      <c r="P107" s="45" t="s">
        <v>414</v>
      </c>
      <c r="Q107" s="45"/>
      <c r="R107" s="43" t="s">
        <v>131</v>
      </c>
      <c r="S107" s="43" t="s">
        <v>52</v>
      </c>
      <c r="T107" s="44">
        <f>$F107+$I107-1</f>
        <v>15</v>
      </c>
      <c r="U107" s="46">
        <f>IF($L107="Deferred",0,$J107)</f>
        <v>2.5</v>
      </c>
      <c r="V107" s="46">
        <f>IF($L107="Deferred",0,$J107*$M107)</f>
        <v>0</v>
      </c>
      <c r="W107" s="46">
        <f>IF($L107="Deferred",0,N($K107))</f>
        <v>0</v>
      </c>
      <c r="X107" s="46">
        <f>$F107</f>
        <v>15</v>
      </c>
      <c r="Y107" s="46">
        <f>$T107</f>
        <v>15</v>
      </c>
    </row>
    <row r="108" spans="1:25" x14ac:dyDescent="0.3">
      <c r="A108" s="43" t="s">
        <v>415</v>
      </c>
      <c r="B108" s="44">
        <v>3</v>
      </c>
      <c r="C108" s="45" t="s">
        <v>416</v>
      </c>
      <c r="D108" s="46" t="s">
        <v>407</v>
      </c>
      <c r="E108" s="44" t="s">
        <v>391</v>
      </c>
      <c r="F108" s="44">
        <v>15</v>
      </c>
      <c r="G108" s="47">
        <f>IF($F108="","",Dashboard!$B$3+$F108-1)</f>
        <v>46308</v>
      </c>
      <c r="H108" s="47">
        <f>IF($T108="","",Dashboard!$B$3+$T108-1)</f>
        <v>46308</v>
      </c>
      <c r="I108" s="44">
        <v>1</v>
      </c>
      <c r="J108" s="48">
        <v>1.5</v>
      </c>
      <c r="K108" s="48"/>
      <c r="L108" s="46" t="s">
        <v>165</v>
      </c>
      <c r="M108" s="49">
        <f>IF($L108="Done",1,IF($L108="Doing",0.5,0))</f>
        <v>0</v>
      </c>
      <c r="N108" s="44"/>
      <c r="O108" s="46"/>
      <c r="P108" s="45" t="s">
        <v>417</v>
      </c>
      <c r="Q108" s="45"/>
      <c r="R108" s="43" t="s">
        <v>131</v>
      </c>
      <c r="S108" s="43" t="s">
        <v>52</v>
      </c>
      <c r="T108" s="44">
        <f>$F108+$I108-1</f>
        <v>15</v>
      </c>
      <c r="U108" s="46">
        <f>IF($L108="Deferred",0,$J108)</f>
        <v>1.5</v>
      </c>
      <c r="V108" s="46">
        <f>IF($L108="Deferred",0,$J108*$M108)</f>
        <v>0</v>
      </c>
      <c r="W108" s="46">
        <f>IF($L108="Deferred",0,N($K108))</f>
        <v>0</v>
      </c>
      <c r="X108" s="46">
        <f>$F108</f>
        <v>15</v>
      </c>
      <c r="Y108" s="46">
        <f>$T108</f>
        <v>15</v>
      </c>
    </row>
    <row r="109" spans="1:25" x14ac:dyDescent="0.3">
      <c r="A109" s="43" t="s">
        <v>418</v>
      </c>
      <c r="B109" s="44">
        <v>3</v>
      </c>
      <c r="C109" s="45" t="s">
        <v>419</v>
      </c>
      <c r="D109" s="46" t="s">
        <v>407</v>
      </c>
      <c r="E109" s="44" t="s">
        <v>250</v>
      </c>
      <c r="F109" s="44">
        <v>15</v>
      </c>
      <c r="G109" s="47">
        <f>IF($F109="","",Dashboard!$B$3+$F109-1)</f>
        <v>46308</v>
      </c>
      <c r="H109" s="47">
        <f>IF($T109="","",Dashboard!$B$3+$T109-1)</f>
        <v>46308</v>
      </c>
      <c r="I109" s="44">
        <v>1</v>
      </c>
      <c r="J109" s="48">
        <v>1</v>
      </c>
      <c r="K109" s="48"/>
      <c r="L109" s="46" t="s">
        <v>165</v>
      </c>
      <c r="M109" s="49">
        <f>IF($L109="Done",1,IF($L109="Doing",0.5,0))</f>
        <v>0</v>
      </c>
      <c r="N109" s="44"/>
      <c r="O109" s="46"/>
      <c r="P109" s="45" t="s">
        <v>420</v>
      </c>
      <c r="Q109" s="45"/>
      <c r="R109" s="43" t="s">
        <v>131</v>
      </c>
      <c r="S109" s="43" t="s">
        <v>52</v>
      </c>
      <c r="T109" s="44">
        <f>$F109+$I109-1</f>
        <v>15</v>
      </c>
      <c r="U109" s="46">
        <f>IF($L109="Deferred",0,$J109)</f>
        <v>1</v>
      </c>
      <c r="V109" s="46">
        <f>IF($L109="Deferred",0,$J109*$M109)</f>
        <v>0</v>
      </c>
      <c r="W109" s="46">
        <f>IF($L109="Deferred",0,N($K109))</f>
        <v>0</v>
      </c>
      <c r="X109" s="46">
        <f>$F109</f>
        <v>15</v>
      </c>
      <c r="Y109" s="46">
        <f>$T109</f>
        <v>15</v>
      </c>
    </row>
    <row r="110" spans="1:25" x14ac:dyDescent="0.3">
      <c r="A110" s="36" t="s">
        <v>132</v>
      </c>
      <c r="B110" s="37">
        <v>2</v>
      </c>
      <c r="C110" s="38" t="s">
        <v>421</v>
      </c>
      <c r="D110" s="39" t="s">
        <v>407</v>
      </c>
      <c r="E110" s="37"/>
      <c r="F110" s="37">
        <f>IFERROR(_xlfn.MINIFS($X$5:$X$144,$R$5:$R$144,$A110,$B$5:$B$144,3),"")</f>
        <v>16</v>
      </c>
      <c r="G110" s="40">
        <f>IF($F110="","",Dashboard!$B$3+$F110-1)</f>
        <v>46309</v>
      </c>
      <c r="H110" s="40">
        <f>IF($T110="","",Dashboard!$B$3+$T110-1)</f>
        <v>46309</v>
      </c>
      <c r="I110" s="37">
        <f>IFERROR($T110-$F110+1,"")</f>
        <v>1</v>
      </c>
      <c r="J110" s="41">
        <f>SUMIFS($U$5:$U$144,$R$5:$R$144,$A110,$B$5:$B$144,3)</f>
        <v>8</v>
      </c>
      <c r="K110" s="41">
        <f>SUMIFS($W$5:$W$144,$R$5:$R$144,$A110,$B$5:$B$144,3)</f>
        <v>0</v>
      </c>
      <c r="L110" s="39"/>
      <c r="M110" s="42">
        <f>IFERROR(SUMIFS($V$5:$V$144,$R$5:$R$144,$A110,$B$5:$B$144,3)/SUMIFS($U$5:$U$144,$R$5:$R$144,$A110,$B$5:$B$144,3),0)</f>
        <v>0</v>
      </c>
      <c r="N110" s="37"/>
      <c r="O110" s="39"/>
      <c r="P110" s="38"/>
      <c r="Q110" s="38"/>
      <c r="R110" s="36" t="s">
        <v>52</v>
      </c>
      <c r="S110" s="36" t="s">
        <v>52</v>
      </c>
      <c r="T110" s="37">
        <f>IFERROR(_xlfn.MAXIFS($Y$5:$Y$144,$R$5:$R$144,$A110,$B$5:$B$144,3),"")</f>
        <v>16</v>
      </c>
      <c r="U110" s="39"/>
      <c r="V110" s="39"/>
      <c r="W110" s="39"/>
      <c r="X110" s="39"/>
      <c r="Y110" s="39"/>
    </row>
    <row r="111" spans="1:25" x14ac:dyDescent="0.3">
      <c r="A111" s="43" t="s">
        <v>422</v>
      </c>
      <c r="B111" s="44">
        <v>3</v>
      </c>
      <c r="C111" s="45" t="s">
        <v>423</v>
      </c>
      <c r="D111" s="46" t="s">
        <v>407</v>
      </c>
      <c r="E111" s="44" t="s">
        <v>288</v>
      </c>
      <c r="F111" s="44">
        <v>16</v>
      </c>
      <c r="G111" s="47">
        <f>IF($F111="","",Dashboard!$B$3+$F111-1)</f>
        <v>46309</v>
      </c>
      <c r="H111" s="47">
        <f>IF($T111="","",Dashboard!$B$3+$T111-1)</f>
        <v>46309</v>
      </c>
      <c r="I111" s="44">
        <v>1</v>
      </c>
      <c r="J111" s="48">
        <v>1.5</v>
      </c>
      <c r="K111" s="48"/>
      <c r="L111" s="46" t="s">
        <v>165</v>
      </c>
      <c r="M111" s="49">
        <f t="shared" ref="M111:M116" si="0">IF($L111="Done",1,IF($L111="Doing",0.5,0))</f>
        <v>0</v>
      </c>
      <c r="N111" s="44"/>
      <c r="O111" s="46"/>
      <c r="P111" s="45" t="s">
        <v>424</v>
      </c>
      <c r="Q111" s="45"/>
      <c r="R111" s="43" t="s">
        <v>132</v>
      </c>
      <c r="S111" s="43" t="s">
        <v>52</v>
      </c>
      <c r="T111" s="44">
        <f t="shared" ref="T111:T116" si="1">$F111+$I111-1</f>
        <v>16</v>
      </c>
      <c r="U111" s="46">
        <f t="shared" ref="U111:U116" si="2">IF($L111="Deferred",0,$J111)</f>
        <v>1.5</v>
      </c>
      <c r="V111" s="46">
        <f t="shared" ref="V111:V116" si="3">IF($L111="Deferred",0,$J111*$M111)</f>
        <v>0</v>
      </c>
      <c r="W111" s="46">
        <f t="shared" ref="W111:W116" si="4">IF($L111="Deferred",0,N($K111))</f>
        <v>0</v>
      </c>
      <c r="X111" s="46">
        <f t="shared" ref="X111:X116" si="5">$F111</f>
        <v>16</v>
      </c>
      <c r="Y111" s="46">
        <f t="shared" ref="Y111:Y116" si="6">$T111</f>
        <v>16</v>
      </c>
    </row>
    <row r="112" spans="1:25" x14ac:dyDescent="0.3">
      <c r="A112" s="43" t="s">
        <v>425</v>
      </c>
      <c r="B112" s="44">
        <v>3</v>
      </c>
      <c r="C112" s="45" t="s">
        <v>426</v>
      </c>
      <c r="D112" s="46" t="s">
        <v>407</v>
      </c>
      <c r="E112" s="44" t="s">
        <v>288</v>
      </c>
      <c r="F112" s="44">
        <v>16</v>
      </c>
      <c r="G112" s="47">
        <f>IF($F112="","",Dashboard!$B$3+$F112-1)</f>
        <v>46309</v>
      </c>
      <c r="H112" s="47">
        <f>IF($T112="","",Dashboard!$B$3+$T112-1)</f>
        <v>46309</v>
      </c>
      <c r="I112" s="44">
        <v>1</v>
      </c>
      <c r="J112" s="48">
        <v>1.5</v>
      </c>
      <c r="K112" s="48"/>
      <c r="L112" s="46" t="s">
        <v>165</v>
      </c>
      <c r="M112" s="49">
        <f t="shared" si="0"/>
        <v>0</v>
      </c>
      <c r="N112" s="44"/>
      <c r="O112" s="46"/>
      <c r="P112" s="45" t="s">
        <v>427</v>
      </c>
      <c r="Q112" s="45"/>
      <c r="R112" s="43" t="s">
        <v>132</v>
      </c>
      <c r="S112" s="43" t="s">
        <v>52</v>
      </c>
      <c r="T112" s="44">
        <f t="shared" si="1"/>
        <v>16</v>
      </c>
      <c r="U112" s="46">
        <f t="shared" si="2"/>
        <v>1.5</v>
      </c>
      <c r="V112" s="46">
        <f t="shared" si="3"/>
        <v>0</v>
      </c>
      <c r="W112" s="46">
        <f t="shared" si="4"/>
        <v>0</v>
      </c>
      <c r="X112" s="46">
        <f t="shared" si="5"/>
        <v>16</v>
      </c>
      <c r="Y112" s="46">
        <f t="shared" si="6"/>
        <v>16</v>
      </c>
    </row>
    <row r="113" spans="1:25" x14ac:dyDescent="0.3">
      <c r="A113" s="43" t="s">
        <v>428</v>
      </c>
      <c r="B113" s="44">
        <v>3</v>
      </c>
      <c r="C113" s="45" t="s">
        <v>429</v>
      </c>
      <c r="D113" s="46" t="s">
        <v>407</v>
      </c>
      <c r="E113" s="44" t="s">
        <v>288</v>
      </c>
      <c r="F113" s="44">
        <v>16</v>
      </c>
      <c r="G113" s="47">
        <f>IF($F113="","",Dashboard!$B$3+$F113-1)</f>
        <v>46309</v>
      </c>
      <c r="H113" s="47">
        <f>IF($T113="","",Dashboard!$B$3+$T113-1)</f>
        <v>46309</v>
      </c>
      <c r="I113" s="44">
        <v>1</v>
      </c>
      <c r="J113" s="48">
        <v>1.5</v>
      </c>
      <c r="K113" s="48"/>
      <c r="L113" s="46" t="s">
        <v>165</v>
      </c>
      <c r="M113" s="49">
        <f t="shared" si="0"/>
        <v>0</v>
      </c>
      <c r="N113" s="44"/>
      <c r="O113" s="46"/>
      <c r="P113" s="45" t="s">
        <v>430</v>
      </c>
      <c r="Q113" s="45"/>
      <c r="R113" s="43" t="s">
        <v>132</v>
      </c>
      <c r="S113" s="43" t="s">
        <v>52</v>
      </c>
      <c r="T113" s="44">
        <f t="shared" si="1"/>
        <v>16</v>
      </c>
      <c r="U113" s="46">
        <f t="shared" si="2"/>
        <v>1.5</v>
      </c>
      <c r="V113" s="46">
        <f t="shared" si="3"/>
        <v>0</v>
      </c>
      <c r="W113" s="46">
        <f t="shared" si="4"/>
        <v>0</v>
      </c>
      <c r="X113" s="46">
        <f t="shared" si="5"/>
        <v>16</v>
      </c>
      <c r="Y113" s="46">
        <f t="shared" si="6"/>
        <v>16</v>
      </c>
    </row>
    <row r="114" spans="1:25" x14ac:dyDescent="0.3">
      <c r="A114" s="43" t="s">
        <v>431</v>
      </c>
      <c r="B114" s="44">
        <v>3</v>
      </c>
      <c r="C114" s="45" t="s">
        <v>432</v>
      </c>
      <c r="D114" s="46" t="s">
        <v>407</v>
      </c>
      <c r="E114" s="44" t="s">
        <v>288</v>
      </c>
      <c r="F114" s="44">
        <v>16</v>
      </c>
      <c r="G114" s="47">
        <f>IF($F114="","",Dashboard!$B$3+$F114-1)</f>
        <v>46309</v>
      </c>
      <c r="H114" s="47">
        <f>IF($T114="","",Dashboard!$B$3+$T114-1)</f>
        <v>46309</v>
      </c>
      <c r="I114" s="44">
        <v>1</v>
      </c>
      <c r="J114" s="48">
        <v>1.5</v>
      </c>
      <c r="K114" s="48"/>
      <c r="L114" s="46" t="s">
        <v>165</v>
      </c>
      <c r="M114" s="49">
        <f t="shared" si="0"/>
        <v>0</v>
      </c>
      <c r="N114" s="44"/>
      <c r="O114" s="46"/>
      <c r="P114" s="45" t="s">
        <v>433</v>
      </c>
      <c r="Q114" s="45"/>
      <c r="R114" s="43" t="s">
        <v>132</v>
      </c>
      <c r="S114" s="43" t="s">
        <v>52</v>
      </c>
      <c r="T114" s="44">
        <f t="shared" si="1"/>
        <v>16</v>
      </c>
      <c r="U114" s="46">
        <f t="shared" si="2"/>
        <v>1.5</v>
      </c>
      <c r="V114" s="46">
        <f t="shared" si="3"/>
        <v>0</v>
      </c>
      <c r="W114" s="46">
        <f t="shared" si="4"/>
        <v>0</v>
      </c>
      <c r="X114" s="46">
        <f t="shared" si="5"/>
        <v>16</v>
      </c>
      <c r="Y114" s="46">
        <f t="shared" si="6"/>
        <v>16</v>
      </c>
    </row>
    <row r="115" spans="1:25" x14ac:dyDescent="0.3">
      <c r="A115" s="43" t="s">
        <v>434</v>
      </c>
      <c r="B115" s="44">
        <v>3</v>
      </c>
      <c r="C115" s="45" t="s">
        <v>435</v>
      </c>
      <c r="D115" s="46" t="s">
        <v>407</v>
      </c>
      <c r="E115" s="44" t="s">
        <v>288</v>
      </c>
      <c r="F115" s="44">
        <v>16</v>
      </c>
      <c r="G115" s="47">
        <f>IF($F115="","",Dashboard!$B$3+$F115-1)</f>
        <v>46309</v>
      </c>
      <c r="H115" s="47">
        <f>IF($T115="","",Dashboard!$B$3+$T115-1)</f>
        <v>46309</v>
      </c>
      <c r="I115" s="44">
        <v>1</v>
      </c>
      <c r="J115" s="48">
        <v>1</v>
      </c>
      <c r="K115" s="48"/>
      <c r="L115" s="46" t="s">
        <v>165</v>
      </c>
      <c r="M115" s="49">
        <f t="shared" si="0"/>
        <v>0</v>
      </c>
      <c r="N115" s="44"/>
      <c r="O115" s="46"/>
      <c r="P115" s="45" t="s">
        <v>436</v>
      </c>
      <c r="Q115" s="45"/>
      <c r="R115" s="43" t="s">
        <v>132</v>
      </c>
      <c r="S115" s="43" t="s">
        <v>52</v>
      </c>
      <c r="T115" s="44">
        <f t="shared" si="1"/>
        <v>16</v>
      </c>
      <c r="U115" s="46">
        <f t="shared" si="2"/>
        <v>1</v>
      </c>
      <c r="V115" s="46">
        <f t="shared" si="3"/>
        <v>0</v>
      </c>
      <c r="W115" s="46">
        <f t="shared" si="4"/>
        <v>0</v>
      </c>
      <c r="X115" s="46">
        <f t="shared" si="5"/>
        <v>16</v>
      </c>
      <c r="Y115" s="46">
        <f t="shared" si="6"/>
        <v>16</v>
      </c>
    </row>
    <row r="116" spans="1:25" x14ac:dyDescent="0.3">
      <c r="A116" s="43" t="s">
        <v>437</v>
      </c>
      <c r="B116" s="44">
        <v>3</v>
      </c>
      <c r="C116" s="45" t="s">
        <v>438</v>
      </c>
      <c r="D116" s="46" t="s">
        <v>407</v>
      </c>
      <c r="E116" s="44" t="s">
        <v>288</v>
      </c>
      <c r="F116" s="44">
        <v>16</v>
      </c>
      <c r="G116" s="47">
        <f>IF($F116="","",Dashboard!$B$3+$F116-1)</f>
        <v>46309</v>
      </c>
      <c r="H116" s="47">
        <f>IF($T116="","",Dashboard!$B$3+$T116-1)</f>
        <v>46309</v>
      </c>
      <c r="I116" s="44">
        <v>1</v>
      </c>
      <c r="J116" s="48">
        <v>1</v>
      </c>
      <c r="K116" s="48"/>
      <c r="L116" s="46" t="s">
        <v>165</v>
      </c>
      <c r="M116" s="49">
        <f t="shared" si="0"/>
        <v>0</v>
      </c>
      <c r="N116" s="44" t="s">
        <v>74</v>
      </c>
      <c r="O116" s="46"/>
      <c r="P116" s="45" t="s">
        <v>439</v>
      </c>
      <c r="Q116" s="45"/>
      <c r="R116" s="43" t="s">
        <v>132</v>
      </c>
      <c r="S116" s="43" t="s">
        <v>52</v>
      </c>
      <c r="T116" s="44">
        <f t="shared" si="1"/>
        <v>16</v>
      </c>
      <c r="U116" s="46">
        <f t="shared" si="2"/>
        <v>1</v>
      </c>
      <c r="V116" s="46">
        <f t="shared" si="3"/>
        <v>0</v>
      </c>
      <c r="W116" s="46">
        <f t="shared" si="4"/>
        <v>0</v>
      </c>
      <c r="X116" s="46">
        <f t="shared" si="5"/>
        <v>16</v>
      </c>
      <c r="Y116" s="46">
        <f t="shared" si="6"/>
        <v>16</v>
      </c>
    </row>
    <row r="117" spans="1:25" x14ac:dyDescent="0.3">
      <c r="A117" s="36" t="s">
        <v>133</v>
      </c>
      <c r="B117" s="37">
        <v>2</v>
      </c>
      <c r="C117" s="38" t="s">
        <v>440</v>
      </c>
      <c r="D117" s="39" t="s">
        <v>407</v>
      </c>
      <c r="E117" s="37"/>
      <c r="F117" s="37">
        <f>IFERROR(_xlfn.MINIFS($X$5:$X$144,$R$5:$R$144,$A117,$B$5:$B$144,3),"")</f>
        <v>17</v>
      </c>
      <c r="G117" s="40">
        <f>IF($F117="","",Dashboard!$B$3+$F117-1)</f>
        <v>46310</v>
      </c>
      <c r="H117" s="40">
        <f>IF($T117="","",Dashboard!$B$3+$T117-1)</f>
        <v>46310</v>
      </c>
      <c r="I117" s="37">
        <f>IFERROR($T117-$F117+1,"")</f>
        <v>1</v>
      </c>
      <c r="J117" s="41">
        <f>SUMIFS($U$5:$U$144,$R$5:$R$144,$A117,$B$5:$B$144,3)</f>
        <v>8</v>
      </c>
      <c r="K117" s="41">
        <f>SUMIFS($W$5:$W$144,$R$5:$R$144,$A117,$B$5:$B$144,3)</f>
        <v>0</v>
      </c>
      <c r="L117" s="39"/>
      <c r="M117" s="42">
        <f>IFERROR(SUMIFS($V$5:$V$144,$R$5:$R$144,$A117,$B$5:$B$144,3)/SUMIFS($U$5:$U$144,$R$5:$R$144,$A117,$B$5:$B$144,3),0)</f>
        <v>0</v>
      </c>
      <c r="N117" s="37"/>
      <c r="O117" s="39"/>
      <c r="P117" s="38"/>
      <c r="Q117" s="38"/>
      <c r="R117" s="36" t="s">
        <v>52</v>
      </c>
      <c r="S117" s="36" t="s">
        <v>52</v>
      </c>
      <c r="T117" s="37">
        <f>IFERROR(_xlfn.MAXIFS($Y$5:$Y$144,$R$5:$R$144,$A117,$B$5:$B$144,3),"")</f>
        <v>17</v>
      </c>
      <c r="U117" s="39"/>
      <c r="V117" s="39"/>
      <c r="W117" s="39"/>
      <c r="X117" s="39"/>
      <c r="Y117" s="39"/>
    </row>
    <row r="118" spans="1:25" ht="26.4" x14ac:dyDescent="0.3">
      <c r="A118" s="43" t="s">
        <v>441</v>
      </c>
      <c r="B118" s="44">
        <v>3</v>
      </c>
      <c r="C118" s="45" t="s">
        <v>442</v>
      </c>
      <c r="D118" s="46" t="s">
        <v>407</v>
      </c>
      <c r="E118" s="44" t="s">
        <v>239</v>
      </c>
      <c r="F118" s="44">
        <v>17</v>
      </c>
      <c r="G118" s="47">
        <f>IF($F118="","",Dashboard!$B$3+$F118-1)</f>
        <v>46310</v>
      </c>
      <c r="H118" s="47">
        <f>IF($T118="","",Dashboard!$B$3+$T118-1)</f>
        <v>46310</v>
      </c>
      <c r="I118" s="44">
        <v>1</v>
      </c>
      <c r="J118" s="48">
        <v>2.5</v>
      </c>
      <c r="K118" s="48"/>
      <c r="L118" s="46" t="s">
        <v>165</v>
      </c>
      <c r="M118" s="49">
        <f>IF($L118="Done",1,IF($L118="Doing",0.5,0))</f>
        <v>0</v>
      </c>
      <c r="N118" s="44"/>
      <c r="O118" s="46"/>
      <c r="P118" s="45" t="s">
        <v>443</v>
      </c>
      <c r="Q118" s="45"/>
      <c r="R118" s="43" t="s">
        <v>133</v>
      </c>
      <c r="S118" s="43" t="s">
        <v>52</v>
      </c>
      <c r="T118" s="44">
        <f>$F118+$I118-1</f>
        <v>17</v>
      </c>
      <c r="U118" s="46">
        <f>IF($L118="Deferred",0,$J118)</f>
        <v>2.5</v>
      </c>
      <c r="V118" s="46">
        <f>IF($L118="Deferred",0,$J118*$M118)</f>
        <v>0</v>
      </c>
      <c r="W118" s="46">
        <f>IF($L118="Deferred",0,N($K118))</f>
        <v>0</v>
      </c>
      <c r="X118" s="46">
        <f>$F118</f>
        <v>17</v>
      </c>
      <c r="Y118" s="46">
        <f>$T118</f>
        <v>17</v>
      </c>
    </row>
    <row r="119" spans="1:25" x14ac:dyDescent="0.3">
      <c r="A119" s="43" t="s">
        <v>444</v>
      </c>
      <c r="B119" s="44">
        <v>3</v>
      </c>
      <c r="C119" s="45" t="s">
        <v>445</v>
      </c>
      <c r="D119" s="46" t="s">
        <v>407</v>
      </c>
      <c r="E119" s="44" t="s">
        <v>239</v>
      </c>
      <c r="F119" s="44">
        <v>17</v>
      </c>
      <c r="G119" s="47">
        <f>IF($F119="","",Dashboard!$B$3+$F119-1)</f>
        <v>46310</v>
      </c>
      <c r="H119" s="47">
        <f>IF($T119="","",Dashboard!$B$3+$T119-1)</f>
        <v>46310</v>
      </c>
      <c r="I119" s="44">
        <v>1</v>
      </c>
      <c r="J119" s="48">
        <v>1.5</v>
      </c>
      <c r="K119" s="48"/>
      <c r="L119" s="46" t="s">
        <v>165</v>
      </c>
      <c r="M119" s="49">
        <f>IF($L119="Done",1,IF($L119="Doing",0.5,0))</f>
        <v>0</v>
      </c>
      <c r="N119" s="44"/>
      <c r="O119" s="46"/>
      <c r="P119" s="45" t="s">
        <v>446</v>
      </c>
      <c r="Q119" s="45"/>
      <c r="R119" s="43" t="s">
        <v>133</v>
      </c>
      <c r="S119" s="43" t="s">
        <v>52</v>
      </c>
      <c r="T119" s="44">
        <f>$F119+$I119-1</f>
        <v>17</v>
      </c>
      <c r="U119" s="46">
        <f>IF($L119="Deferred",0,$J119)</f>
        <v>1.5</v>
      </c>
      <c r="V119" s="46">
        <f>IF($L119="Deferred",0,$J119*$M119)</f>
        <v>0</v>
      </c>
      <c r="W119" s="46">
        <f>IF($L119="Deferred",0,N($K119))</f>
        <v>0</v>
      </c>
      <c r="X119" s="46">
        <f>$F119</f>
        <v>17</v>
      </c>
      <c r="Y119" s="46">
        <f>$T119</f>
        <v>17</v>
      </c>
    </row>
    <row r="120" spans="1:25" x14ac:dyDescent="0.3">
      <c r="A120" s="43" t="s">
        <v>447</v>
      </c>
      <c r="B120" s="44">
        <v>3</v>
      </c>
      <c r="C120" s="45" t="s">
        <v>448</v>
      </c>
      <c r="D120" s="46" t="s">
        <v>407</v>
      </c>
      <c r="E120" s="44" t="s">
        <v>239</v>
      </c>
      <c r="F120" s="44">
        <v>17</v>
      </c>
      <c r="G120" s="47">
        <f>IF($F120="","",Dashboard!$B$3+$F120-1)</f>
        <v>46310</v>
      </c>
      <c r="H120" s="47">
        <f>IF($T120="","",Dashboard!$B$3+$T120-1)</f>
        <v>46310</v>
      </c>
      <c r="I120" s="44">
        <v>1</v>
      </c>
      <c r="J120" s="48">
        <v>1</v>
      </c>
      <c r="K120" s="48"/>
      <c r="L120" s="46" t="s">
        <v>165</v>
      </c>
      <c r="M120" s="49">
        <f>IF($L120="Done",1,IF($L120="Doing",0.5,0))</f>
        <v>0</v>
      </c>
      <c r="N120" s="44"/>
      <c r="O120" s="46"/>
      <c r="P120" s="45" t="s">
        <v>449</v>
      </c>
      <c r="Q120" s="45"/>
      <c r="R120" s="43" t="s">
        <v>133</v>
      </c>
      <c r="S120" s="43" t="s">
        <v>52</v>
      </c>
      <c r="T120" s="44">
        <f>$F120+$I120-1</f>
        <v>17</v>
      </c>
      <c r="U120" s="46">
        <f>IF($L120="Deferred",0,$J120)</f>
        <v>1</v>
      </c>
      <c r="V120" s="46">
        <f>IF($L120="Deferred",0,$J120*$M120)</f>
        <v>0</v>
      </c>
      <c r="W120" s="46">
        <f>IF($L120="Deferred",0,N($K120))</f>
        <v>0</v>
      </c>
      <c r="X120" s="46">
        <f>$F120</f>
        <v>17</v>
      </c>
      <c r="Y120" s="46">
        <f>$T120</f>
        <v>17</v>
      </c>
    </row>
    <row r="121" spans="1:25" x14ac:dyDescent="0.3">
      <c r="A121" s="43" t="s">
        <v>450</v>
      </c>
      <c r="B121" s="44">
        <v>3</v>
      </c>
      <c r="C121" s="45" t="s">
        <v>451</v>
      </c>
      <c r="D121" s="46" t="s">
        <v>407</v>
      </c>
      <c r="E121" s="44" t="s">
        <v>239</v>
      </c>
      <c r="F121" s="44">
        <v>17</v>
      </c>
      <c r="G121" s="47">
        <f>IF($F121="","",Dashboard!$B$3+$F121-1)</f>
        <v>46310</v>
      </c>
      <c r="H121" s="47">
        <f>IF($T121="","",Dashboard!$B$3+$T121-1)</f>
        <v>46310</v>
      </c>
      <c r="I121" s="44">
        <v>1</v>
      </c>
      <c r="J121" s="48">
        <v>3</v>
      </c>
      <c r="K121" s="48"/>
      <c r="L121" s="46" t="s">
        <v>165</v>
      </c>
      <c r="M121" s="49">
        <f>IF($L121="Done",1,IF($L121="Doing",0.5,0))</f>
        <v>0</v>
      </c>
      <c r="N121" s="44"/>
      <c r="O121" s="46"/>
      <c r="P121" s="45" t="s">
        <v>452</v>
      </c>
      <c r="Q121" s="45"/>
      <c r="R121" s="43" t="s">
        <v>133</v>
      </c>
      <c r="S121" s="43" t="s">
        <v>52</v>
      </c>
      <c r="T121" s="44">
        <f>$F121+$I121-1</f>
        <v>17</v>
      </c>
      <c r="U121" s="46">
        <f>IF($L121="Deferred",0,$J121)</f>
        <v>3</v>
      </c>
      <c r="V121" s="46">
        <f>IF($L121="Deferred",0,$J121*$M121)</f>
        <v>0</v>
      </c>
      <c r="W121" s="46">
        <f>IF($L121="Deferred",0,N($K121))</f>
        <v>0</v>
      </c>
      <c r="X121" s="46">
        <f>$F121</f>
        <v>17</v>
      </c>
      <c r="Y121" s="46">
        <f>$T121</f>
        <v>17</v>
      </c>
    </row>
    <row r="122" spans="1:25" x14ac:dyDescent="0.3">
      <c r="A122" s="36" t="s">
        <v>134</v>
      </c>
      <c r="B122" s="37">
        <v>2</v>
      </c>
      <c r="C122" s="38" t="s">
        <v>453</v>
      </c>
      <c r="D122" s="39" t="s">
        <v>407</v>
      </c>
      <c r="E122" s="37"/>
      <c r="F122" s="37">
        <f>IFERROR(_xlfn.MINIFS($X$5:$X$144,$R$5:$R$144,$A122,$B$5:$B$144,3),"")</f>
        <v>18</v>
      </c>
      <c r="G122" s="40">
        <f>IF($F122="","",Dashboard!$B$3+$F122-1)</f>
        <v>46311</v>
      </c>
      <c r="H122" s="40">
        <f>IF($T122="","",Dashboard!$B$3+$T122-1)</f>
        <v>46311</v>
      </c>
      <c r="I122" s="37">
        <f>IFERROR($T122-$F122+1,"")</f>
        <v>1</v>
      </c>
      <c r="J122" s="41">
        <f>SUMIFS($U$5:$U$144,$R$5:$R$144,$A122,$B$5:$B$144,3)</f>
        <v>3.5</v>
      </c>
      <c r="K122" s="41">
        <f>SUMIFS($W$5:$W$144,$R$5:$R$144,$A122,$B$5:$B$144,3)</f>
        <v>0</v>
      </c>
      <c r="L122" s="39"/>
      <c r="M122" s="42">
        <f>IFERROR(SUMIFS($V$5:$V$144,$R$5:$R$144,$A122,$B$5:$B$144,3)/SUMIFS($U$5:$U$144,$R$5:$R$144,$A122,$B$5:$B$144,3),0)</f>
        <v>0</v>
      </c>
      <c r="N122" s="37"/>
      <c r="O122" s="39"/>
      <c r="P122" s="38"/>
      <c r="Q122" s="38"/>
      <c r="R122" s="36" t="s">
        <v>52</v>
      </c>
      <c r="S122" s="36" t="s">
        <v>52</v>
      </c>
      <c r="T122" s="37">
        <f>IFERROR(_xlfn.MAXIFS($Y$5:$Y$144,$R$5:$R$144,$A122,$B$5:$B$144,3),"")</f>
        <v>18</v>
      </c>
      <c r="U122" s="39"/>
      <c r="V122" s="39"/>
      <c r="W122" s="39"/>
      <c r="X122" s="39"/>
      <c r="Y122" s="39"/>
    </row>
    <row r="123" spans="1:25" x14ac:dyDescent="0.3">
      <c r="A123" s="43" t="s">
        <v>454</v>
      </c>
      <c r="B123" s="44">
        <v>3</v>
      </c>
      <c r="C123" s="45" t="s">
        <v>455</v>
      </c>
      <c r="D123" s="46" t="s">
        <v>407</v>
      </c>
      <c r="E123" s="44" t="s">
        <v>250</v>
      </c>
      <c r="F123" s="44">
        <v>18</v>
      </c>
      <c r="G123" s="47">
        <f>IF($F123="","",Dashboard!$B$3+$F123-1)</f>
        <v>46311</v>
      </c>
      <c r="H123" s="47">
        <f>IF($T123="","",Dashboard!$B$3+$T123-1)</f>
        <v>46311</v>
      </c>
      <c r="I123" s="44">
        <v>1</v>
      </c>
      <c r="J123" s="48">
        <v>3</v>
      </c>
      <c r="K123" s="48"/>
      <c r="L123" s="46" t="s">
        <v>165</v>
      </c>
      <c r="M123" s="49">
        <f>IF($L123="Done",1,IF($L123="Doing",0.5,0))</f>
        <v>0</v>
      </c>
      <c r="N123" s="44"/>
      <c r="O123" s="46"/>
      <c r="P123" s="45" t="s">
        <v>456</v>
      </c>
      <c r="Q123" s="45"/>
      <c r="R123" s="43" t="s">
        <v>134</v>
      </c>
      <c r="S123" s="43" t="s">
        <v>52</v>
      </c>
      <c r="T123" s="44">
        <f>$F123+$I123-1</f>
        <v>18</v>
      </c>
      <c r="U123" s="46">
        <f>IF($L123="Deferred",0,$J123)</f>
        <v>3</v>
      </c>
      <c r="V123" s="46">
        <f>IF($L123="Deferred",0,$J123*$M123)</f>
        <v>0</v>
      </c>
      <c r="W123" s="46">
        <f>IF($L123="Deferred",0,N($K123))</f>
        <v>0</v>
      </c>
      <c r="X123" s="46">
        <f>$F123</f>
        <v>18</v>
      </c>
      <c r="Y123" s="46">
        <f>$T123</f>
        <v>18</v>
      </c>
    </row>
    <row r="124" spans="1:25" x14ac:dyDescent="0.3">
      <c r="A124" s="43" t="s">
        <v>457</v>
      </c>
      <c r="B124" s="44">
        <v>3</v>
      </c>
      <c r="C124" s="45" t="s">
        <v>458</v>
      </c>
      <c r="D124" s="46" t="s">
        <v>407</v>
      </c>
      <c r="E124" s="44" t="s">
        <v>250</v>
      </c>
      <c r="F124" s="44">
        <v>18</v>
      </c>
      <c r="G124" s="47">
        <f>IF($F124="","",Dashboard!$B$3+$F124-1)</f>
        <v>46311</v>
      </c>
      <c r="H124" s="47">
        <f>IF($T124="","",Dashboard!$B$3+$T124-1)</f>
        <v>46311</v>
      </c>
      <c r="I124" s="44">
        <v>1</v>
      </c>
      <c r="J124" s="48">
        <v>0.5</v>
      </c>
      <c r="K124" s="48"/>
      <c r="L124" s="46" t="s">
        <v>165</v>
      </c>
      <c r="M124" s="49">
        <f>IF($L124="Done",1,IF($L124="Doing",0.5,0))</f>
        <v>0</v>
      </c>
      <c r="N124" s="44"/>
      <c r="O124" s="46"/>
      <c r="P124" s="45" t="s">
        <v>459</v>
      </c>
      <c r="Q124" s="45"/>
      <c r="R124" s="43" t="s">
        <v>134</v>
      </c>
      <c r="S124" s="43" t="s">
        <v>52</v>
      </c>
      <c r="T124" s="44">
        <f>$F124+$I124-1</f>
        <v>18</v>
      </c>
      <c r="U124" s="46">
        <f>IF($L124="Deferred",0,$J124)</f>
        <v>0.5</v>
      </c>
      <c r="V124" s="46">
        <f>IF($L124="Deferred",0,$J124*$M124)</f>
        <v>0</v>
      </c>
      <c r="W124" s="46">
        <f>IF($L124="Deferred",0,N($K124))</f>
        <v>0</v>
      </c>
      <c r="X124" s="46">
        <f>$F124</f>
        <v>18</v>
      </c>
      <c r="Y124" s="46">
        <f>$T124</f>
        <v>18</v>
      </c>
    </row>
    <row r="125" spans="1:25" x14ac:dyDescent="0.3">
      <c r="A125" s="36" t="s">
        <v>135</v>
      </c>
      <c r="B125" s="37">
        <v>2</v>
      </c>
      <c r="C125" s="38" t="s">
        <v>460</v>
      </c>
      <c r="D125" s="39" t="s">
        <v>407</v>
      </c>
      <c r="E125" s="37"/>
      <c r="F125" s="37">
        <f>IFERROR(_xlfn.MINIFS($X$5:$X$144,$R$5:$R$144,$A125,$B$5:$B$144,3),"")</f>
        <v>18</v>
      </c>
      <c r="G125" s="40">
        <f>IF($F125="","",Dashboard!$B$3+$F125-1)</f>
        <v>46311</v>
      </c>
      <c r="H125" s="40">
        <f>IF($T125="","",Dashboard!$B$3+$T125-1)</f>
        <v>46311</v>
      </c>
      <c r="I125" s="37">
        <f>IFERROR($T125-$F125+1,"")</f>
        <v>1</v>
      </c>
      <c r="J125" s="41">
        <f>SUMIFS($U$5:$U$144,$R$5:$R$144,$A125,$B$5:$B$144,3)</f>
        <v>4.5</v>
      </c>
      <c r="K125" s="41">
        <f>SUMIFS($W$5:$W$144,$R$5:$R$144,$A125,$B$5:$B$144,3)</f>
        <v>0</v>
      </c>
      <c r="L125" s="39"/>
      <c r="M125" s="42">
        <f>IFERROR(SUMIFS($V$5:$V$144,$R$5:$R$144,$A125,$B$5:$B$144,3)/SUMIFS($U$5:$U$144,$R$5:$R$144,$A125,$B$5:$B$144,3),0)</f>
        <v>0</v>
      </c>
      <c r="N125" s="37"/>
      <c r="O125" s="39"/>
      <c r="P125" s="38"/>
      <c r="Q125" s="38"/>
      <c r="R125" s="36" t="s">
        <v>52</v>
      </c>
      <c r="S125" s="36" t="s">
        <v>52</v>
      </c>
      <c r="T125" s="37">
        <f>IFERROR(_xlfn.MAXIFS($Y$5:$Y$144,$R$5:$R$144,$A125,$B$5:$B$144,3),"")</f>
        <v>18</v>
      </c>
      <c r="U125" s="39"/>
      <c r="V125" s="39"/>
      <c r="W125" s="39"/>
      <c r="X125" s="39"/>
      <c r="Y125" s="39"/>
    </row>
    <row r="126" spans="1:25" x14ac:dyDescent="0.3">
      <c r="A126" s="43" t="s">
        <v>461</v>
      </c>
      <c r="B126" s="44">
        <v>3</v>
      </c>
      <c r="C126" s="45" t="s">
        <v>462</v>
      </c>
      <c r="D126" s="46" t="s">
        <v>407</v>
      </c>
      <c r="E126" s="44" t="s">
        <v>284</v>
      </c>
      <c r="F126" s="44">
        <v>18</v>
      </c>
      <c r="G126" s="47">
        <f>IF($F126="","",Dashboard!$B$3+$F126-1)</f>
        <v>46311</v>
      </c>
      <c r="H126" s="47">
        <f>IF($T126="","",Dashboard!$B$3+$T126-1)</f>
        <v>46311</v>
      </c>
      <c r="I126" s="44">
        <v>1</v>
      </c>
      <c r="J126" s="48">
        <v>2.5</v>
      </c>
      <c r="K126" s="48"/>
      <c r="L126" s="46" t="s">
        <v>165</v>
      </c>
      <c r="M126" s="49">
        <f>IF($L126="Done",1,IF($L126="Doing",0.5,0))</f>
        <v>0</v>
      </c>
      <c r="N126" s="44"/>
      <c r="O126" s="46"/>
      <c r="P126" s="45" t="s">
        <v>463</v>
      </c>
      <c r="Q126" s="45"/>
      <c r="R126" s="43" t="s">
        <v>135</v>
      </c>
      <c r="S126" s="43" t="s">
        <v>52</v>
      </c>
      <c r="T126" s="44">
        <f>$F126+$I126-1</f>
        <v>18</v>
      </c>
      <c r="U126" s="46">
        <f>IF($L126="Deferred",0,$J126)</f>
        <v>2.5</v>
      </c>
      <c r="V126" s="46">
        <f>IF($L126="Deferred",0,$J126*$M126)</f>
        <v>0</v>
      </c>
      <c r="W126" s="46">
        <f>IF($L126="Deferred",0,N($K126))</f>
        <v>0</v>
      </c>
      <c r="X126" s="46">
        <f>$F126</f>
        <v>18</v>
      </c>
      <c r="Y126" s="46">
        <f>$T126</f>
        <v>18</v>
      </c>
    </row>
    <row r="127" spans="1:25" x14ac:dyDescent="0.3">
      <c r="A127" s="43" t="s">
        <v>464</v>
      </c>
      <c r="B127" s="44">
        <v>3</v>
      </c>
      <c r="C127" s="45" t="s">
        <v>465</v>
      </c>
      <c r="D127" s="46" t="s">
        <v>407</v>
      </c>
      <c r="E127" s="44" t="s">
        <v>284</v>
      </c>
      <c r="F127" s="44">
        <v>18</v>
      </c>
      <c r="G127" s="47">
        <f>IF($F127="","",Dashboard!$B$3+$F127-1)</f>
        <v>46311</v>
      </c>
      <c r="H127" s="47">
        <f>IF($T127="","",Dashboard!$B$3+$T127-1)</f>
        <v>46311</v>
      </c>
      <c r="I127" s="44">
        <v>1</v>
      </c>
      <c r="J127" s="48">
        <v>2</v>
      </c>
      <c r="K127" s="48"/>
      <c r="L127" s="46" t="s">
        <v>165</v>
      </c>
      <c r="M127" s="49">
        <f>IF($L127="Done",1,IF($L127="Doing",0.5,0))</f>
        <v>0</v>
      </c>
      <c r="N127" s="44"/>
      <c r="O127" s="46"/>
      <c r="P127" s="45" t="s">
        <v>466</v>
      </c>
      <c r="Q127" s="45"/>
      <c r="R127" s="43" t="s">
        <v>135</v>
      </c>
      <c r="S127" s="43" t="s">
        <v>52</v>
      </c>
      <c r="T127" s="44">
        <f>$F127+$I127-1</f>
        <v>18</v>
      </c>
      <c r="U127" s="46">
        <f>IF($L127="Deferred",0,$J127)</f>
        <v>2</v>
      </c>
      <c r="V127" s="46">
        <f>IF($L127="Deferred",0,$J127*$M127)</f>
        <v>0</v>
      </c>
      <c r="W127" s="46">
        <f>IF($L127="Deferred",0,N($K127))</f>
        <v>0</v>
      </c>
      <c r="X127" s="46">
        <f>$F127</f>
        <v>18</v>
      </c>
      <c r="Y127" s="46">
        <f>$T127</f>
        <v>18</v>
      </c>
    </row>
    <row r="128" spans="1:25" x14ac:dyDescent="0.3">
      <c r="A128" s="29" t="s">
        <v>54</v>
      </c>
      <c r="B128" s="30">
        <v>1</v>
      </c>
      <c r="C128" s="31" t="s">
        <v>467</v>
      </c>
      <c r="D128" s="32" t="s">
        <v>467</v>
      </c>
      <c r="E128" s="30"/>
      <c r="F128" s="30">
        <f>IFERROR(_xlfn.MINIFS($X$5:$X$144,$S$5:$S$144,$A128,$B$5:$B$144,3),"")</f>
        <v>19</v>
      </c>
      <c r="G128" s="33">
        <f>IF($F128="","",Dashboard!$B$3+$F128-1)</f>
        <v>46312</v>
      </c>
      <c r="H128" s="33">
        <f>IF($T128="","",Dashboard!$B$3+$T128-1)</f>
        <v>46314</v>
      </c>
      <c r="I128" s="30">
        <f>IFERROR($T128-$F128+1,"")</f>
        <v>3</v>
      </c>
      <c r="J128" s="34">
        <f>SUMIFS($U$5:$U$144,$S$5:$S$144,$A128,$B$5:$B$144,3)</f>
        <v>21</v>
      </c>
      <c r="K128" s="34">
        <f>SUMIFS($W$5:$W$144,$S$5:$S$144,$A128,$B$5:$B$144,3)</f>
        <v>0</v>
      </c>
      <c r="L128" s="32"/>
      <c r="M128" s="35">
        <f>IFERROR(SUMIFS($V$5:$V$144,$S$5:$S$144,$A128,$B$5:$B$144,3)/SUMIFS($U$5:$U$144,$S$5:$S$144,$A128,$B$5:$B$144,3),0)</f>
        <v>0</v>
      </c>
      <c r="N128" s="30"/>
      <c r="O128" s="32"/>
      <c r="P128" s="31"/>
      <c r="Q128" s="31"/>
      <c r="R128" s="29"/>
      <c r="S128" s="29"/>
      <c r="T128" s="30">
        <f>IFERROR(_xlfn.MAXIFS($Y$5:$Y$144,$S$5:$S$144,$A128,$B$5:$B$144,3),"")</f>
        <v>21</v>
      </c>
      <c r="U128" s="32"/>
      <c r="V128" s="32"/>
      <c r="W128" s="32"/>
      <c r="X128" s="32"/>
      <c r="Y128" s="32"/>
    </row>
    <row r="129" spans="1:25" x14ac:dyDescent="0.3">
      <c r="A129" s="36" t="s">
        <v>136</v>
      </c>
      <c r="B129" s="37">
        <v>2</v>
      </c>
      <c r="C129" s="38" t="s">
        <v>468</v>
      </c>
      <c r="D129" s="39" t="s">
        <v>467</v>
      </c>
      <c r="E129" s="37"/>
      <c r="F129" s="37">
        <f>IFERROR(_xlfn.MINIFS($X$5:$X$144,$R$5:$R$144,$A129,$B$5:$B$144,3),"")</f>
        <v>19</v>
      </c>
      <c r="G129" s="40">
        <f>IF($F129="","",Dashboard!$B$3+$F129-1)</f>
        <v>46312</v>
      </c>
      <c r="H129" s="40">
        <f>IF($T129="","",Dashboard!$B$3+$T129-1)</f>
        <v>46312</v>
      </c>
      <c r="I129" s="37">
        <f>IFERROR($T129-$F129+1,"")</f>
        <v>1</v>
      </c>
      <c r="J129" s="41">
        <f>SUMIFS($U$5:$U$144,$R$5:$R$144,$A129,$B$5:$B$144,3)</f>
        <v>5.5</v>
      </c>
      <c r="K129" s="41">
        <f>SUMIFS($W$5:$W$144,$R$5:$R$144,$A129,$B$5:$B$144,3)</f>
        <v>0</v>
      </c>
      <c r="L129" s="39"/>
      <c r="M129" s="42">
        <f>IFERROR(SUMIFS($V$5:$V$144,$R$5:$R$144,$A129,$B$5:$B$144,3)/SUMIFS($U$5:$U$144,$R$5:$R$144,$A129,$B$5:$B$144,3),0)</f>
        <v>0</v>
      </c>
      <c r="N129" s="37"/>
      <c r="O129" s="39"/>
      <c r="P129" s="38"/>
      <c r="Q129" s="38"/>
      <c r="R129" s="36" t="s">
        <v>54</v>
      </c>
      <c r="S129" s="36" t="s">
        <v>54</v>
      </c>
      <c r="T129" s="37">
        <f>IFERROR(_xlfn.MAXIFS($Y$5:$Y$144,$R$5:$R$144,$A129,$B$5:$B$144,3),"")</f>
        <v>19</v>
      </c>
      <c r="U129" s="39"/>
      <c r="V129" s="39"/>
      <c r="W129" s="39"/>
      <c r="X129" s="39"/>
      <c r="Y129" s="39"/>
    </row>
    <row r="130" spans="1:25" x14ac:dyDescent="0.3">
      <c r="A130" s="43" t="s">
        <v>469</v>
      </c>
      <c r="B130" s="44">
        <v>3</v>
      </c>
      <c r="C130" s="45" t="s">
        <v>470</v>
      </c>
      <c r="D130" s="46" t="s">
        <v>467</v>
      </c>
      <c r="E130" s="44" t="s">
        <v>211</v>
      </c>
      <c r="F130" s="44">
        <v>19</v>
      </c>
      <c r="G130" s="47">
        <f>IF($F130="","",Dashboard!$B$3+$F130-1)</f>
        <v>46312</v>
      </c>
      <c r="H130" s="47">
        <f>IF($T130="","",Dashboard!$B$3+$T130-1)</f>
        <v>46312</v>
      </c>
      <c r="I130" s="44">
        <v>1</v>
      </c>
      <c r="J130" s="48">
        <v>1.5</v>
      </c>
      <c r="K130" s="48"/>
      <c r="L130" s="46" t="s">
        <v>165</v>
      </c>
      <c r="M130" s="49">
        <f>IF($L130="Done",1,IF($L130="Doing",0.5,0))</f>
        <v>0</v>
      </c>
      <c r="N130" s="44"/>
      <c r="O130" s="46"/>
      <c r="P130" s="45" t="s">
        <v>471</v>
      </c>
      <c r="Q130" s="45"/>
      <c r="R130" s="43" t="s">
        <v>136</v>
      </c>
      <c r="S130" s="43" t="s">
        <v>54</v>
      </c>
      <c r="T130" s="44">
        <f>$F130+$I130-1</f>
        <v>19</v>
      </c>
      <c r="U130" s="46">
        <f>IF($L130="Deferred",0,$J130)</f>
        <v>1.5</v>
      </c>
      <c r="V130" s="46">
        <f>IF($L130="Deferred",0,$J130*$M130)</f>
        <v>0</v>
      </c>
      <c r="W130" s="46">
        <f>IF($L130="Deferred",0,N($K130))</f>
        <v>0</v>
      </c>
      <c r="X130" s="46">
        <f>$F130</f>
        <v>19</v>
      </c>
      <c r="Y130" s="46">
        <f>$T130</f>
        <v>19</v>
      </c>
    </row>
    <row r="131" spans="1:25" x14ac:dyDescent="0.3">
      <c r="A131" s="43" t="s">
        <v>472</v>
      </c>
      <c r="B131" s="44">
        <v>3</v>
      </c>
      <c r="C131" s="45" t="s">
        <v>473</v>
      </c>
      <c r="D131" s="46" t="s">
        <v>467</v>
      </c>
      <c r="E131" s="44" t="s">
        <v>211</v>
      </c>
      <c r="F131" s="44">
        <v>19</v>
      </c>
      <c r="G131" s="47">
        <f>IF($F131="","",Dashboard!$B$3+$F131-1)</f>
        <v>46312</v>
      </c>
      <c r="H131" s="47">
        <f>IF($T131="","",Dashboard!$B$3+$T131-1)</f>
        <v>46312</v>
      </c>
      <c r="I131" s="44">
        <v>1</v>
      </c>
      <c r="J131" s="48">
        <v>1.5</v>
      </c>
      <c r="K131" s="48"/>
      <c r="L131" s="46" t="s">
        <v>165</v>
      </c>
      <c r="M131" s="49">
        <f>IF($L131="Done",1,IF($L131="Doing",0.5,0))</f>
        <v>0</v>
      </c>
      <c r="N131" s="44"/>
      <c r="O131" s="46"/>
      <c r="P131" s="45" t="s">
        <v>474</v>
      </c>
      <c r="Q131" s="45"/>
      <c r="R131" s="43" t="s">
        <v>136</v>
      </c>
      <c r="S131" s="43" t="s">
        <v>54</v>
      </c>
      <c r="T131" s="44">
        <f>$F131+$I131-1</f>
        <v>19</v>
      </c>
      <c r="U131" s="46">
        <f>IF($L131="Deferred",0,$J131)</f>
        <v>1.5</v>
      </c>
      <c r="V131" s="46">
        <f>IF($L131="Deferred",0,$J131*$M131)</f>
        <v>0</v>
      </c>
      <c r="W131" s="46">
        <f>IF($L131="Deferred",0,N($K131))</f>
        <v>0</v>
      </c>
      <c r="X131" s="46">
        <f>$F131</f>
        <v>19</v>
      </c>
      <c r="Y131" s="46">
        <f>$T131</f>
        <v>19</v>
      </c>
    </row>
    <row r="132" spans="1:25" x14ac:dyDescent="0.3">
      <c r="A132" s="43" t="s">
        <v>475</v>
      </c>
      <c r="B132" s="44">
        <v>3</v>
      </c>
      <c r="C132" s="45" t="s">
        <v>476</v>
      </c>
      <c r="D132" s="46" t="s">
        <v>467</v>
      </c>
      <c r="E132" s="44" t="s">
        <v>211</v>
      </c>
      <c r="F132" s="44">
        <v>19</v>
      </c>
      <c r="G132" s="47">
        <f>IF($F132="","",Dashboard!$B$3+$F132-1)</f>
        <v>46312</v>
      </c>
      <c r="H132" s="47">
        <f>IF($T132="","",Dashboard!$B$3+$T132-1)</f>
        <v>46312</v>
      </c>
      <c r="I132" s="44">
        <v>1</v>
      </c>
      <c r="J132" s="48">
        <v>1.5</v>
      </c>
      <c r="K132" s="48"/>
      <c r="L132" s="46" t="s">
        <v>165</v>
      </c>
      <c r="M132" s="49">
        <f>IF($L132="Done",1,IF($L132="Doing",0.5,0))</f>
        <v>0</v>
      </c>
      <c r="N132" s="44"/>
      <c r="O132" s="46"/>
      <c r="P132" s="45" t="s">
        <v>477</v>
      </c>
      <c r="Q132" s="45"/>
      <c r="R132" s="43" t="s">
        <v>136</v>
      </c>
      <c r="S132" s="43" t="s">
        <v>54</v>
      </c>
      <c r="T132" s="44">
        <f>$F132+$I132-1</f>
        <v>19</v>
      </c>
      <c r="U132" s="46">
        <f>IF($L132="Deferred",0,$J132)</f>
        <v>1.5</v>
      </c>
      <c r="V132" s="46">
        <f>IF($L132="Deferred",0,$J132*$M132)</f>
        <v>0</v>
      </c>
      <c r="W132" s="46">
        <f>IF($L132="Deferred",0,N($K132))</f>
        <v>0</v>
      </c>
      <c r="X132" s="46">
        <f>$F132</f>
        <v>19</v>
      </c>
      <c r="Y132" s="46">
        <f>$T132</f>
        <v>19</v>
      </c>
    </row>
    <row r="133" spans="1:25" x14ac:dyDescent="0.3">
      <c r="A133" s="43" t="s">
        <v>478</v>
      </c>
      <c r="B133" s="44">
        <v>3</v>
      </c>
      <c r="C133" s="45" t="s">
        <v>479</v>
      </c>
      <c r="D133" s="46" t="s">
        <v>467</v>
      </c>
      <c r="E133" s="44" t="s">
        <v>211</v>
      </c>
      <c r="F133" s="44">
        <v>19</v>
      </c>
      <c r="G133" s="47">
        <f>IF($F133="","",Dashboard!$B$3+$F133-1)</f>
        <v>46312</v>
      </c>
      <c r="H133" s="47">
        <f>IF($T133="","",Dashboard!$B$3+$T133-1)</f>
        <v>46312</v>
      </c>
      <c r="I133" s="44">
        <v>1</v>
      </c>
      <c r="J133" s="48">
        <v>1</v>
      </c>
      <c r="K133" s="48"/>
      <c r="L133" s="46" t="s">
        <v>165</v>
      </c>
      <c r="M133" s="49">
        <f>IF($L133="Done",1,IF($L133="Doing",0.5,0))</f>
        <v>0</v>
      </c>
      <c r="N133" s="44"/>
      <c r="O133" s="46"/>
      <c r="P133" s="45" t="s">
        <v>480</v>
      </c>
      <c r="Q133" s="45"/>
      <c r="R133" s="43" t="s">
        <v>136</v>
      </c>
      <c r="S133" s="43" t="s">
        <v>54</v>
      </c>
      <c r="T133" s="44">
        <f>$F133+$I133-1</f>
        <v>19</v>
      </c>
      <c r="U133" s="46">
        <f>IF($L133="Deferred",0,$J133)</f>
        <v>1</v>
      </c>
      <c r="V133" s="46">
        <f>IF($L133="Deferred",0,$J133*$M133)</f>
        <v>0</v>
      </c>
      <c r="W133" s="46">
        <f>IF($L133="Deferred",0,N($K133))</f>
        <v>0</v>
      </c>
      <c r="X133" s="46">
        <f>$F133</f>
        <v>19</v>
      </c>
      <c r="Y133" s="46">
        <f>$T133</f>
        <v>19</v>
      </c>
    </row>
    <row r="134" spans="1:25" x14ac:dyDescent="0.3">
      <c r="A134" s="36" t="s">
        <v>137</v>
      </c>
      <c r="B134" s="37">
        <v>2</v>
      </c>
      <c r="C134" s="38" t="s">
        <v>481</v>
      </c>
      <c r="D134" s="39" t="s">
        <v>467</v>
      </c>
      <c r="E134" s="37"/>
      <c r="F134" s="37">
        <f>IFERROR(_xlfn.MINIFS($X$5:$X$144,$R$5:$R$144,$A134,$B$5:$B$144,3),"")</f>
        <v>19</v>
      </c>
      <c r="G134" s="40">
        <f>IF($F134="","",Dashboard!$B$3+$F134-1)</f>
        <v>46312</v>
      </c>
      <c r="H134" s="40">
        <f>IF($T134="","",Dashboard!$B$3+$T134-1)</f>
        <v>46312</v>
      </c>
      <c r="I134" s="37">
        <f>IFERROR($T134-$F134+1,"")</f>
        <v>1</v>
      </c>
      <c r="J134" s="41">
        <f>SUMIFS($U$5:$U$144,$R$5:$R$144,$A134,$B$5:$B$144,3)</f>
        <v>2</v>
      </c>
      <c r="K134" s="41">
        <f>SUMIFS($W$5:$W$144,$R$5:$R$144,$A134,$B$5:$B$144,3)</f>
        <v>0</v>
      </c>
      <c r="L134" s="39"/>
      <c r="M134" s="42">
        <f>IFERROR(SUMIFS($V$5:$V$144,$R$5:$R$144,$A134,$B$5:$B$144,3)/SUMIFS($U$5:$U$144,$R$5:$R$144,$A134,$B$5:$B$144,3),0)</f>
        <v>0</v>
      </c>
      <c r="N134" s="37"/>
      <c r="O134" s="39"/>
      <c r="P134" s="38"/>
      <c r="Q134" s="38"/>
      <c r="R134" s="36" t="s">
        <v>54</v>
      </c>
      <c r="S134" s="36" t="s">
        <v>54</v>
      </c>
      <c r="T134" s="37">
        <f>IFERROR(_xlfn.MAXIFS($Y$5:$Y$144,$R$5:$R$144,$A134,$B$5:$B$144,3),"")</f>
        <v>19</v>
      </c>
      <c r="U134" s="39"/>
      <c r="V134" s="39"/>
      <c r="W134" s="39"/>
      <c r="X134" s="39"/>
      <c r="Y134" s="39"/>
    </row>
    <row r="135" spans="1:25" x14ac:dyDescent="0.3">
      <c r="A135" s="43" t="s">
        <v>482</v>
      </c>
      <c r="B135" s="44">
        <v>3</v>
      </c>
      <c r="C135" s="45" t="s">
        <v>483</v>
      </c>
      <c r="D135" s="46" t="s">
        <v>467</v>
      </c>
      <c r="E135" s="44" t="s">
        <v>211</v>
      </c>
      <c r="F135" s="44">
        <v>19</v>
      </c>
      <c r="G135" s="47">
        <f>IF($F135="","",Dashboard!$B$3+$F135-1)</f>
        <v>46312</v>
      </c>
      <c r="H135" s="47">
        <f>IF($T135="","",Dashboard!$B$3+$T135-1)</f>
        <v>46312</v>
      </c>
      <c r="I135" s="44">
        <v>1</v>
      </c>
      <c r="J135" s="48">
        <v>2</v>
      </c>
      <c r="K135" s="48"/>
      <c r="L135" s="46" t="s">
        <v>165</v>
      </c>
      <c r="M135" s="49">
        <f>IF($L135="Done",1,IF($L135="Doing",0.5,0))</f>
        <v>0</v>
      </c>
      <c r="N135" s="44" t="s">
        <v>77</v>
      </c>
      <c r="O135" s="46"/>
      <c r="P135" s="45" t="s">
        <v>484</v>
      </c>
      <c r="Q135" s="45"/>
      <c r="R135" s="43" t="s">
        <v>137</v>
      </c>
      <c r="S135" s="43" t="s">
        <v>54</v>
      </c>
      <c r="T135" s="44">
        <f>$F135+$I135-1</f>
        <v>19</v>
      </c>
      <c r="U135" s="46">
        <f>IF($L135="Deferred",0,$J135)</f>
        <v>2</v>
      </c>
      <c r="V135" s="46">
        <f>IF($L135="Deferred",0,$J135*$M135)</f>
        <v>0</v>
      </c>
      <c r="W135" s="46">
        <f>IF($L135="Deferred",0,N($K135))</f>
        <v>0</v>
      </c>
      <c r="X135" s="46">
        <f>$F135</f>
        <v>19</v>
      </c>
      <c r="Y135" s="46">
        <f>$T135</f>
        <v>19</v>
      </c>
    </row>
    <row r="136" spans="1:25" x14ac:dyDescent="0.3">
      <c r="A136" s="36" t="s">
        <v>138</v>
      </c>
      <c r="B136" s="37">
        <v>2</v>
      </c>
      <c r="C136" s="38" t="s">
        <v>485</v>
      </c>
      <c r="D136" s="39" t="s">
        <v>467</v>
      </c>
      <c r="E136" s="37"/>
      <c r="F136" s="37">
        <f>IFERROR(_xlfn.MINIFS($X$5:$X$144,$R$5:$R$144,$A136,$B$5:$B$144,3),"")</f>
        <v>20</v>
      </c>
      <c r="G136" s="40">
        <f>IF($F136="","",Dashboard!$B$3+$F136-1)</f>
        <v>46313</v>
      </c>
      <c r="H136" s="40">
        <f>IF($T136="","",Dashboard!$B$3+$T136-1)</f>
        <v>46313</v>
      </c>
      <c r="I136" s="37">
        <f>IFERROR($T136-$F136+1,"")</f>
        <v>1</v>
      </c>
      <c r="J136" s="41">
        <f>SUMIFS($U$5:$U$144,$R$5:$R$144,$A136,$B$5:$B$144,3)</f>
        <v>7</v>
      </c>
      <c r="K136" s="41">
        <f>SUMIFS($W$5:$W$144,$R$5:$R$144,$A136,$B$5:$B$144,3)</f>
        <v>0</v>
      </c>
      <c r="L136" s="39"/>
      <c r="M136" s="42">
        <f>IFERROR(SUMIFS($V$5:$V$144,$R$5:$R$144,$A136,$B$5:$B$144,3)/SUMIFS($U$5:$U$144,$R$5:$R$144,$A136,$B$5:$B$144,3),0)</f>
        <v>0</v>
      </c>
      <c r="N136" s="37"/>
      <c r="O136" s="39"/>
      <c r="P136" s="38"/>
      <c r="Q136" s="38"/>
      <c r="R136" s="36" t="s">
        <v>54</v>
      </c>
      <c r="S136" s="36" t="s">
        <v>54</v>
      </c>
      <c r="T136" s="37">
        <f>IFERROR(_xlfn.MAXIFS($Y$5:$Y$144,$R$5:$R$144,$A136,$B$5:$B$144,3),"")</f>
        <v>20</v>
      </c>
      <c r="U136" s="39"/>
      <c r="V136" s="39"/>
      <c r="W136" s="39"/>
      <c r="X136" s="39"/>
      <c r="Y136" s="39"/>
    </row>
    <row r="137" spans="1:25" x14ac:dyDescent="0.3">
      <c r="A137" s="43" t="s">
        <v>486</v>
      </c>
      <c r="B137" s="44">
        <v>3</v>
      </c>
      <c r="C137" s="45" t="s">
        <v>487</v>
      </c>
      <c r="D137" s="46" t="s">
        <v>467</v>
      </c>
      <c r="E137" s="44" t="s">
        <v>211</v>
      </c>
      <c r="F137" s="44">
        <v>20</v>
      </c>
      <c r="G137" s="47">
        <f>IF($F137="","",Dashboard!$B$3+$F137-1)</f>
        <v>46313</v>
      </c>
      <c r="H137" s="47">
        <f>IF($T137="","",Dashboard!$B$3+$T137-1)</f>
        <v>46313</v>
      </c>
      <c r="I137" s="44">
        <v>1</v>
      </c>
      <c r="J137" s="48">
        <v>2</v>
      </c>
      <c r="K137" s="48"/>
      <c r="L137" s="46" t="s">
        <v>165</v>
      </c>
      <c r="M137" s="49">
        <f>IF($L137="Done",1,IF($L137="Doing",0.5,0))</f>
        <v>0</v>
      </c>
      <c r="N137" s="44"/>
      <c r="O137" s="46"/>
      <c r="P137" s="45" t="s">
        <v>488</v>
      </c>
      <c r="Q137" s="45"/>
      <c r="R137" s="43" t="s">
        <v>138</v>
      </c>
      <c r="S137" s="43" t="s">
        <v>54</v>
      </c>
      <c r="T137" s="44">
        <f>$F137+$I137-1</f>
        <v>20</v>
      </c>
      <c r="U137" s="46">
        <f>IF($L137="Deferred",0,$J137)</f>
        <v>2</v>
      </c>
      <c r="V137" s="46">
        <f>IF($L137="Deferred",0,$J137*$M137)</f>
        <v>0</v>
      </c>
      <c r="W137" s="46">
        <f>IF($L137="Deferred",0,N($K137))</f>
        <v>0</v>
      </c>
      <c r="X137" s="46">
        <f>$F137</f>
        <v>20</v>
      </c>
      <c r="Y137" s="46">
        <f>$T137</f>
        <v>20</v>
      </c>
    </row>
    <row r="138" spans="1:25" x14ac:dyDescent="0.3">
      <c r="A138" s="43" t="s">
        <v>489</v>
      </c>
      <c r="B138" s="44">
        <v>3</v>
      </c>
      <c r="C138" s="45" t="s">
        <v>490</v>
      </c>
      <c r="D138" s="46" t="s">
        <v>467</v>
      </c>
      <c r="E138" s="44" t="s">
        <v>211</v>
      </c>
      <c r="F138" s="44">
        <v>20</v>
      </c>
      <c r="G138" s="47">
        <f>IF($F138="","",Dashboard!$B$3+$F138-1)</f>
        <v>46313</v>
      </c>
      <c r="H138" s="47">
        <f>IF($T138="","",Dashboard!$B$3+$T138-1)</f>
        <v>46313</v>
      </c>
      <c r="I138" s="44">
        <v>1</v>
      </c>
      <c r="J138" s="48">
        <v>2</v>
      </c>
      <c r="K138" s="48"/>
      <c r="L138" s="46" t="s">
        <v>165</v>
      </c>
      <c r="M138" s="49">
        <f>IF($L138="Done",1,IF($L138="Doing",0.5,0))</f>
        <v>0</v>
      </c>
      <c r="N138" s="44"/>
      <c r="O138" s="46"/>
      <c r="P138" s="45" t="s">
        <v>491</v>
      </c>
      <c r="Q138" s="45"/>
      <c r="R138" s="43" t="s">
        <v>138</v>
      </c>
      <c r="S138" s="43" t="s">
        <v>54</v>
      </c>
      <c r="T138" s="44">
        <f>$F138+$I138-1</f>
        <v>20</v>
      </c>
      <c r="U138" s="46">
        <f>IF($L138="Deferred",0,$J138)</f>
        <v>2</v>
      </c>
      <c r="V138" s="46">
        <f>IF($L138="Deferred",0,$J138*$M138)</f>
        <v>0</v>
      </c>
      <c r="W138" s="46">
        <f>IF($L138="Deferred",0,N($K138))</f>
        <v>0</v>
      </c>
      <c r="X138" s="46">
        <f>$F138</f>
        <v>20</v>
      </c>
      <c r="Y138" s="46">
        <f>$T138</f>
        <v>20</v>
      </c>
    </row>
    <row r="139" spans="1:25" x14ac:dyDescent="0.3">
      <c r="A139" s="43" t="s">
        <v>492</v>
      </c>
      <c r="B139" s="44">
        <v>3</v>
      </c>
      <c r="C139" s="45" t="s">
        <v>493</v>
      </c>
      <c r="D139" s="46" t="s">
        <v>467</v>
      </c>
      <c r="E139" s="44" t="s">
        <v>211</v>
      </c>
      <c r="F139" s="44">
        <v>20</v>
      </c>
      <c r="G139" s="47">
        <f>IF($F139="","",Dashboard!$B$3+$F139-1)</f>
        <v>46313</v>
      </c>
      <c r="H139" s="47">
        <f>IF($T139="","",Dashboard!$B$3+$T139-1)</f>
        <v>46313</v>
      </c>
      <c r="I139" s="44">
        <v>1</v>
      </c>
      <c r="J139" s="48">
        <v>1.5</v>
      </c>
      <c r="K139" s="48"/>
      <c r="L139" s="46" t="s">
        <v>165</v>
      </c>
      <c r="M139" s="49">
        <f>IF($L139="Done",1,IF($L139="Doing",0.5,0))</f>
        <v>0</v>
      </c>
      <c r="N139" s="44"/>
      <c r="O139" s="46"/>
      <c r="P139" s="45" t="s">
        <v>494</v>
      </c>
      <c r="Q139" s="45"/>
      <c r="R139" s="43" t="s">
        <v>138</v>
      </c>
      <c r="S139" s="43" t="s">
        <v>54</v>
      </c>
      <c r="T139" s="44">
        <f>$F139+$I139-1</f>
        <v>20</v>
      </c>
      <c r="U139" s="46">
        <f>IF($L139="Deferred",0,$J139)</f>
        <v>1.5</v>
      </c>
      <c r="V139" s="46">
        <f>IF($L139="Deferred",0,$J139*$M139)</f>
        <v>0</v>
      </c>
      <c r="W139" s="46">
        <f>IF($L139="Deferred",0,N($K139))</f>
        <v>0</v>
      </c>
      <c r="X139" s="46">
        <f>$F139</f>
        <v>20</v>
      </c>
      <c r="Y139" s="46">
        <f>$T139</f>
        <v>20</v>
      </c>
    </row>
    <row r="140" spans="1:25" x14ac:dyDescent="0.3">
      <c r="A140" s="43" t="s">
        <v>495</v>
      </c>
      <c r="B140" s="44">
        <v>3</v>
      </c>
      <c r="C140" s="45" t="s">
        <v>496</v>
      </c>
      <c r="D140" s="46" t="s">
        <v>467</v>
      </c>
      <c r="E140" s="44" t="s">
        <v>284</v>
      </c>
      <c r="F140" s="44">
        <v>20</v>
      </c>
      <c r="G140" s="47">
        <f>IF($F140="","",Dashboard!$B$3+$F140-1)</f>
        <v>46313</v>
      </c>
      <c r="H140" s="47">
        <f>IF($T140="","",Dashboard!$B$3+$T140-1)</f>
        <v>46313</v>
      </c>
      <c r="I140" s="44">
        <v>1</v>
      </c>
      <c r="J140" s="48">
        <v>1.5</v>
      </c>
      <c r="K140" s="48"/>
      <c r="L140" s="46" t="s">
        <v>165</v>
      </c>
      <c r="M140" s="49">
        <f>IF($L140="Done",1,IF($L140="Doing",0.5,0))</f>
        <v>0</v>
      </c>
      <c r="N140" s="44"/>
      <c r="O140" s="46"/>
      <c r="P140" s="45" t="s">
        <v>497</v>
      </c>
      <c r="Q140" s="45"/>
      <c r="R140" s="43" t="s">
        <v>138</v>
      </c>
      <c r="S140" s="43" t="s">
        <v>54</v>
      </c>
      <c r="T140" s="44">
        <f>$F140+$I140-1</f>
        <v>20</v>
      </c>
      <c r="U140" s="46">
        <f>IF($L140="Deferred",0,$J140)</f>
        <v>1.5</v>
      </c>
      <c r="V140" s="46">
        <f>IF($L140="Deferred",0,$J140*$M140)</f>
        <v>0</v>
      </c>
      <c r="W140" s="46">
        <f>IF($L140="Deferred",0,N($K140))</f>
        <v>0</v>
      </c>
      <c r="X140" s="46">
        <f>$F140</f>
        <v>20</v>
      </c>
      <c r="Y140" s="46">
        <f>$T140</f>
        <v>20</v>
      </c>
    </row>
    <row r="141" spans="1:25" x14ac:dyDescent="0.3">
      <c r="A141" s="36" t="s">
        <v>139</v>
      </c>
      <c r="B141" s="37">
        <v>2</v>
      </c>
      <c r="C141" s="38" t="s">
        <v>498</v>
      </c>
      <c r="D141" s="39" t="s">
        <v>467</v>
      </c>
      <c r="E141" s="37"/>
      <c r="F141" s="37">
        <f>IFERROR(_xlfn.MINIFS($X$5:$X$144,$R$5:$R$144,$A141,$B$5:$B$144,3),"")</f>
        <v>21</v>
      </c>
      <c r="G141" s="40">
        <f>IF($F141="","",Dashboard!$B$3+$F141-1)</f>
        <v>46314</v>
      </c>
      <c r="H141" s="40">
        <f>IF($T141="","",Dashboard!$B$3+$T141-1)</f>
        <v>46314</v>
      </c>
      <c r="I141" s="37">
        <f>IFERROR($T141-$F141+1,"")</f>
        <v>1</v>
      </c>
      <c r="J141" s="41">
        <f>SUMIFS($U$5:$U$144,$R$5:$R$144,$A141,$B$5:$B$144,3)</f>
        <v>6.5</v>
      </c>
      <c r="K141" s="41">
        <f>SUMIFS($W$5:$W$144,$R$5:$R$144,$A141,$B$5:$B$144,3)</f>
        <v>0</v>
      </c>
      <c r="L141" s="39"/>
      <c r="M141" s="42">
        <f>IFERROR(SUMIFS($V$5:$V$144,$R$5:$R$144,$A141,$B$5:$B$144,3)/SUMIFS($U$5:$U$144,$R$5:$R$144,$A141,$B$5:$B$144,3),0)</f>
        <v>0</v>
      </c>
      <c r="N141" s="37"/>
      <c r="O141" s="39"/>
      <c r="P141" s="38"/>
      <c r="Q141" s="38"/>
      <c r="R141" s="36" t="s">
        <v>54</v>
      </c>
      <c r="S141" s="36" t="s">
        <v>54</v>
      </c>
      <c r="T141" s="37">
        <f>IFERROR(_xlfn.MAXIFS($Y$5:$Y$144,$R$5:$R$144,$A141,$B$5:$B$144,3),"")</f>
        <v>21</v>
      </c>
      <c r="U141" s="39"/>
      <c r="V141" s="39"/>
      <c r="W141" s="39"/>
      <c r="X141" s="39"/>
      <c r="Y141" s="39"/>
    </row>
    <row r="142" spans="1:25" x14ac:dyDescent="0.3">
      <c r="A142" s="43" t="s">
        <v>499</v>
      </c>
      <c r="B142" s="44">
        <v>3</v>
      </c>
      <c r="C142" s="45" t="s">
        <v>500</v>
      </c>
      <c r="D142" s="46" t="s">
        <v>467</v>
      </c>
      <c r="E142" s="44" t="s">
        <v>211</v>
      </c>
      <c r="F142" s="44">
        <v>21</v>
      </c>
      <c r="G142" s="47">
        <f>IF($F142="","",Dashboard!$B$3+$F142-1)</f>
        <v>46314</v>
      </c>
      <c r="H142" s="47">
        <f>IF($T142="","",Dashboard!$B$3+$T142-1)</f>
        <v>46314</v>
      </c>
      <c r="I142" s="44">
        <v>1</v>
      </c>
      <c r="J142" s="48">
        <v>3</v>
      </c>
      <c r="K142" s="48"/>
      <c r="L142" s="46" t="s">
        <v>165</v>
      </c>
      <c r="M142" s="49">
        <f>IF($L142="Done",1,IF($L142="Doing",0.5,0))</f>
        <v>0</v>
      </c>
      <c r="N142" s="44"/>
      <c r="O142" s="46"/>
      <c r="P142" s="45" t="s">
        <v>501</v>
      </c>
      <c r="Q142" s="45"/>
      <c r="R142" s="43" t="s">
        <v>139</v>
      </c>
      <c r="S142" s="43" t="s">
        <v>54</v>
      </c>
      <c r="T142" s="44">
        <f>$F142+$I142-1</f>
        <v>21</v>
      </c>
      <c r="U142" s="46">
        <f>IF($L142="Deferred",0,$J142)</f>
        <v>3</v>
      </c>
      <c r="V142" s="46">
        <f>IF($L142="Deferred",0,$J142*$M142)</f>
        <v>0</v>
      </c>
      <c r="W142" s="46">
        <f>IF($L142="Deferred",0,N($K142))</f>
        <v>0</v>
      </c>
      <c r="X142" s="46">
        <f>$F142</f>
        <v>21</v>
      </c>
      <c r="Y142" s="46">
        <f>$T142</f>
        <v>21</v>
      </c>
    </row>
    <row r="143" spans="1:25" x14ac:dyDescent="0.3">
      <c r="A143" s="43" t="s">
        <v>502</v>
      </c>
      <c r="B143" s="44">
        <v>3</v>
      </c>
      <c r="C143" s="45" t="s">
        <v>503</v>
      </c>
      <c r="D143" s="46" t="s">
        <v>467</v>
      </c>
      <c r="E143" s="44" t="s">
        <v>211</v>
      </c>
      <c r="F143" s="44">
        <v>21</v>
      </c>
      <c r="G143" s="47">
        <f>IF($F143="","",Dashboard!$B$3+$F143-1)</f>
        <v>46314</v>
      </c>
      <c r="H143" s="47">
        <f>IF($T143="","",Dashboard!$B$3+$T143-1)</f>
        <v>46314</v>
      </c>
      <c r="I143" s="44">
        <v>1</v>
      </c>
      <c r="J143" s="48">
        <v>2.5</v>
      </c>
      <c r="K143" s="48"/>
      <c r="L143" s="46" t="s">
        <v>165</v>
      </c>
      <c r="M143" s="49">
        <f>IF($L143="Done",1,IF($L143="Doing",0.5,0))</f>
        <v>0</v>
      </c>
      <c r="N143" s="44"/>
      <c r="O143" s="46"/>
      <c r="P143" s="45" t="s">
        <v>504</v>
      </c>
      <c r="Q143" s="45"/>
      <c r="R143" s="43" t="s">
        <v>139</v>
      </c>
      <c r="S143" s="43" t="s">
        <v>54</v>
      </c>
      <c r="T143" s="44">
        <f>$F143+$I143-1</f>
        <v>21</v>
      </c>
      <c r="U143" s="46">
        <f>IF($L143="Deferred",0,$J143)</f>
        <v>2.5</v>
      </c>
      <c r="V143" s="46">
        <f>IF($L143="Deferred",0,$J143*$M143)</f>
        <v>0</v>
      </c>
      <c r="W143" s="46">
        <f>IF($L143="Deferred",0,N($K143))</f>
        <v>0</v>
      </c>
      <c r="X143" s="46">
        <f>$F143</f>
        <v>21</v>
      </c>
      <c r="Y143" s="46">
        <f>$T143</f>
        <v>21</v>
      </c>
    </row>
    <row r="144" spans="1:25" x14ac:dyDescent="0.3">
      <c r="A144" s="43" t="s">
        <v>505</v>
      </c>
      <c r="B144" s="44">
        <v>3</v>
      </c>
      <c r="C144" s="45" t="s">
        <v>506</v>
      </c>
      <c r="D144" s="46" t="s">
        <v>467</v>
      </c>
      <c r="E144" s="44" t="s">
        <v>211</v>
      </c>
      <c r="F144" s="44">
        <v>21</v>
      </c>
      <c r="G144" s="47">
        <f>IF($F144="","",Dashboard!$B$3+$F144-1)</f>
        <v>46314</v>
      </c>
      <c r="H144" s="47">
        <f>IF($T144="","",Dashboard!$B$3+$T144-1)</f>
        <v>46314</v>
      </c>
      <c r="I144" s="44">
        <v>1</v>
      </c>
      <c r="J144" s="48">
        <v>1</v>
      </c>
      <c r="K144" s="48"/>
      <c r="L144" s="46" t="s">
        <v>165</v>
      </c>
      <c r="M144" s="49">
        <f>IF($L144="Done",1,IF($L144="Doing",0.5,0))</f>
        <v>0</v>
      </c>
      <c r="N144" s="44" t="s">
        <v>79</v>
      </c>
      <c r="O144" s="46"/>
      <c r="P144" s="45" t="s">
        <v>507</v>
      </c>
      <c r="Q144" s="45"/>
      <c r="R144" s="43" t="s">
        <v>139</v>
      </c>
      <c r="S144" s="43" t="s">
        <v>54</v>
      </c>
      <c r="T144" s="44">
        <f>$F144+$I144-1</f>
        <v>21</v>
      </c>
      <c r="U144" s="46">
        <f>IF($L144="Deferred",0,$J144)</f>
        <v>1</v>
      </c>
      <c r="V144" s="46">
        <f>IF($L144="Deferred",0,$J144*$M144)</f>
        <v>0</v>
      </c>
      <c r="W144" s="46">
        <f>IF($L144="Deferred",0,N($K144))</f>
        <v>0</v>
      </c>
      <c r="X144" s="46">
        <f>$F144</f>
        <v>21</v>
      </c>
      <c r="Y144" s="46">
        <f>$T144</f>
        <v>21</v>
      </c>
    </row>
  </sheetData>
  <autoFilter ref="A4:Q144" xr:uid="{00000000-0009-0000-0000-000001000000}"/>
  <conditionalFormatting sqref="L5:L144">
    <cfRule type="cellIs" dxfId="18" priority="1" operator="equal">
      <formula>"Done"</formula>
    </cfRule>
    <cfRule type="cellIs" dxfId="17" priority="2" operator="equal">
      <formula>"Doing"</formula>
    </cfRule>
    <cfRule type="cellIs" dxfId="16" priority="3" operator="equal">
      <formula>"Blocked"</formula>
    </cfRule>
    <cfRule type="cellIs" dxfId="15" priority="4" operator="equal">
      <formula>"Deferred"</formula>
    </cfRule>
  </conditionalFormatting>
  <pageMargins left="0.75" right="0.75" top="1" bottom="1" header="0.5" footer="0.5"/>
  <headerFooter>
    <oddHeader>&amp;R&amp;"Aptos"&amp;10&amp;K000000 Classification: Confidential&amp;1#_x000D_</oddHeader>
  </headerFooter>
  <extLst>
    <ext xmlns:x14="http://schemas.microsoft.com/office/spreadsheetml/2009/9/main" uri="{78C0D931-6437-407d-A8EE-F0AAD7539E65}">
      <x14:conditionalFormattings>
        <x14:conditionalFormatting xmlns:xm="http://schemas.microsoft.com/office/excel/2006/main">
          <x14:cfRule type="expression" priority="5" id="{00000000-000E-0000-0100-000005000000}">
            <xm:f>AND($B5=3,$F5&lt;Dashboard!$B$5,$L5&lt;&gt;"Done",$L5&lt;&gt;"Deferred")</xm:f>
            <x14:dxf>
              <font>
                <b/>
                <sz val="10"/>
                <color rgb="FF9C0006"/>
                <name val="Arial"/>
              </font>
            </x14:dxf>
          </x14:cfRule>
          <xm:sqref>C5:C144</xm:sqref>
        </x14:conditionalFormatting>
      </x14:conditionalFormattings>
    </ext>
    <ext xmlns:x14="http://schemas.microsoft.com/office/spreadsheetml/2009/9/main" uri="{CCE6A557-97BC-4b89-ADB6-D9C93CAAB3DF}">
      <x14:dataValidations xmlns:xm="http://schemas.microsoft.com/office/excel/2006/main" count="1">
        <x14:dataValidation type="list" allowBlank="1" errorTitle="Not in list" error="Pick a value from the list." xr:uid="{00000000-0002-0000-0100-000000000000}">
          <x14:formula1>
            <xm:f>Lists!$A$5:$A$9</xm:f>
          </x14:formula1>
          <xm:sqref>L5:L144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Z144"/>
  <sheetViews>
    <sheetView workbookViewId="0">
      <pane xSplit="5" ySplit="4" topLeftCell="F5" activePane="bottomRight" state="frozen"/>
      <selection pane="topRight"/>
      <selection pane="bottomLeft"/>
      <selection pane="bottomRight"/>
    </sheetView>
  </sheetViews>
  <sheetFormatPr defaultRowHeight="14.4" x14ac:dyDescent="0.3"/>
  <cols>
    <col min="1" max="1" width="9" customWidth="1"/>
    <col min="2" max="2" width="58" customWidth="1"/>
    <col min="3" max="3" width="6" customWidth="1"/>
    <col min="4" max="4" width="7" customWidth="1"/>
    <col min="5" max="5" width="8" customWidth="1"/>
    <col min="6" max="26" width="4.21875" customWidth="1"/>
  </cols>
  <sheetData>
    <row r="1" spans="1:26" ht="17.399999999999999" x14ac:dyDescent="0.3">
      <c r="A1" s="1" t="s">
        <v>508</v>
      </c>
    </row>
    <row r="2" spans="1:26" x14ac:dyDescent="0.3">
      <c r="A2" s="2" t="s">
        <v>509</v>
      </c>
    </row>
    <row r="3" spans="1:26" x14ac:dyDescent="0.3">
      <c r="F3" s="50">
        <f>Dashboard!$B$3+1-1</f>
        <v>46294</v>
      </c>
      <c r="G3" s="50">
        <f>Dashboard!$B$3+2-1</f>
        <v>46295</v>
      </c>
      <c r="H3" s="50">
        <f>Dashboard!$B$3+3-1</f>
        <v>46296</v>
      </c>
      <c r="I3" s="50">
        <f>Dashboard!$B$3+4-1</f>
        <v>46297</v>
      </c>
      <c r="J3" s="50">
        <f>Dashboard!$B$3+5-1</f>
        <v>46298</v>
      </c>
      <c r="K3" s="50">
        <f>Dashboard!$B$3+6-1</f>
        <v>46299</v>
      </c>
      <c r="L3" s="50">
        <f>Dashboard!$B$3+7-1</f>
        <v>46300</v>
      </c>
      <c r="M3" s="50">
        <f>Dashboard!$B$3+8-1</f>
        <v>46301</v>
      </c>
      <c r="N3" s="50">
        <f>Dashboard!$B$3+9-1</f>
        <v>46302</v>
      </c>
      <c r="O3" s="50">
        <f>Dashboard!$B$3+10-1</f>
        <v>46303</v>
      </c>
      <c r="P3" s="50">
        <f>Dashboard!$B$3+11-1</f>
        <v>46304</v>
      </c>
      <c r="Q3" s="50">
        <f>Dashboard!$B$3+12-1</f>
        <v>46305</v>
      </c>
      <c r="R3" s="50">
        <f>Dashboard!$B$3+13-1</f>
        <v>46306</v>
      </c>
      <c r="S3" s="50">
        <f>Dashboard!$B$3+14-1</f>
        <v>46307</v>
      </c>
      <c r="T3" s="50">
        <f>Dashboard!$B$3+15-1</f>
        <v>46308</v>
      </c>
      <c r="U3" s="50">
        <f>Dashboard!$B$3+16-1</f>
        <v>46309</v>
      </c>
      <c r="V3" s="50">
        <f>Dashboard!$B$3+17-1</f>
        <v>46310</v>
      </c>
      <c r="W3" s="50">
        <f>Dashboard!$B$3+18-1</f>
        <v>46311</v>
      </c>
      <c r="X3" s="50">
        <f>Dashboard!$B$3+19-1</f>
        <v>46312</v>
      </c>
      <c r="Y3" s="50">
        <f>Dashboard!$B$3+20-1</f>
        <v>46313</v>
      </c>
      <c r="Z3" s="50">
        <f>Dashboard!$B$3+21-1</f>
        <v>46314</v>
      </c>
    </row>
    <row r="4" spans="1:26" x14ac:dyDescent="0.3">
      <c r="A4" s="51" t="s">
        <v>101</v>
      </c>
      <c r="B4" s="51" t="s">
        <v>143</v>
      </c>
      <c r="C4" s="51" t="s">
        <v>144</v>
      </c>
      <c r="D4" s="51" t="s">
        <v>36</v>
      </c>
      <c r="E4" s="51" t="s">
        <v>38</v>
      </c>
      <c r="F4" s="52" t="s">
        <v>5</v>
      </c>
      <c r="G4" s="52" t="s">
        <v>6</v>
      </c>
      <c r="H4" s="52" t="s">
        <v>7</v>
      </c>
      <c r="I4" s="52" t="s">
        <v>8</v>
      </c>
      <c r="J4" s="52" t="s">
        <v>9</v>
      </c>
      <c r="K4" s="52" t="s">
        <v>10</v>
      </c>
      <c r="L4" s="52" t="s">
        <v>11</v>
      </c>
      <c r="M4" s="52" t="s">
        <v>12</v>
      </c>
      <c r="N4" s="52" t="s">
        <v>13</v>
      </c>
      <c r="O4" s="52" t="s">
        <v>14</v>
      </c>
      <c r="P4" s="52" t="s">
        <v>15</v>
      </c>
      <c r="Q4" s="52" t="s">
        <v>16</v>
      </c>
      <c r="R4" s="52" t="s">
        <v>17</v>
      </c>
      <c r="S4" s="52" t="s">
        <v>18</v>
      </c>
      <c r="T4" s="52" t="s">
        <v>19</v>
      </c>
      <c r="U4" s="52" t="s">
        <v>20</v>
      </c>
      <c r="V4" s="52" t="s">
        <v>21</v>
      </c>
      <c r="W4" s="52" t="s">
        <v>22</v>
      </c>
      <c r="X4" s="52" t="s">
        <v>23</v>
      </c>
      <c r="Y4" s="52" t="s">
        <v>24</v>
      </c>
      <c r="Z4" s="52" t="s">
        <v>25</v>
      </c>
    </row>
    <row r="5" spans="1:26" x14ac:dyDescent="0.3">
      <c r="A5" s="53" t="str">
        <f>WBS!$A5</f>
        <v>1</v>
      </c>
      <c r="B5" s="54" t="str">
        <f>WBS!$C5</f>
        <v>Discovery</v>
      </c>
      <c r="C5" s="55" t="str">
        <f>IF(WBS!$E5="","",WBS!$E5)</f>
        <v/>
      </c>
      <c r="D5" s="56">
        <f>WBS!$J5</f>
        <v>28.5</v>
      </c>
      <c r="E5" s="57">
        <f>WBS!$M5</f>
        <v>0.10526315789473684</v>
      </c>
      <c r="F5" s="58">
        <f>IF(OR(WBS!$F5="",WBS!$T5=""),"",IF(AND(1&gt;=WBS!$F5,1&lt;=WBS!$T5),IF(WBS!$L5="Done",3,IF(WBS!$L5="Doing",2,IF(WBS!$L5="Blocked",4,IF(WBS!$L5="Deferred",5,1)))),""))</f>
        <v>1</v>
      </c>
      <c r="G5" s="58">
        <f>IF(OR(WBS!$F5="",WBS!$T5=""),"",IF(AND(2&gt;=WBS!$F5,2&lt;=WBS!$T5),IF(WBS!$L5="Done",3,IF(WBS!$L5="Doing",2,IF(WBS!$L5="Blocked",4,IF(WBS!$L5="Deferred",5,1)))),""))</f>
        <v>1</v>
      </c>
      <c r="H5" s="58">
        <f>IF(OR(WBS!$F5="",WBS!$T5=""),"",IF(AND(3&gt;=WBS!$F5,3&lt;=WBS!$T5),IF(WBS!$L5="Done",3,IF(WBS!$L5="Doing",2,IF(WBS!$L5="Blocked",4,IF(WBS!$L5="Deferred",5,1)))),""))</f>
        <v>1</v>
      </c>
      <c r="I5" s="58" t="str">
        <f>IF(OR(WBS!$F5="",WBS!$T5=""),"",IF(AND(4&gt;=WBS!$F5,4&lt;=WBS!$T5),IF(WBS!$L5="Done",3,IF(WBS!$L5="Doing",2,IF(WBS!$L5="Blocked",4,IF(WBS!$L5="Deferred",5,1)))),""))</f>
        <v/>
      </c>
      <c r="J5" s="58" t="str">
        <f>IF(OR(WBS!$F5="",WBS!$T5=""),"",IF(AND(5&gt;=WBS!$F5,5&lt;=WBS!$T5),IF(WBS!$L5="Done",3,IF(WBS!$L5="Doing",2,IF(WBS!$L5="Blocked",4,IF(WBS!$L5="Deferred",5,1)))),""))</f>
        <v/>
      </c>
      <c r="K5" s="58" t="str">
        <f>IF(OR(WBS!$F5="",WBS!$T5=""),"",IF(AND(6&gt;=WBS!$F5,6&lt;=WBS!$T5),IF(WBS!$L5="Done",3,IF(WBS!$L5="Doing",2,IF(WBS!$L5="Blocked",4,IF(WBS!$L5="Deferred",5,1)))),""))</f>
        <v/>
      </c>
      <c r="L5" s="58" t="str">
        <f>IF(OR(WBS!$F5="",WBS!$T5=""),"",IF(AND(7&gt;=WBS!$F5,7&lt;=WBS!$T5),IF(WBS!$L5="Done",3,IF(WBS!$L5="Doing",2,IF(WBS!$L5="Blocked",4,IF(WBS!$L5="Deferred",5,1)))),""))</f>
        <v/>
      </c>
      <c r="M5" s="58" t="str">
        <f>IF(OR(WBS!$F5="",WBS!$T5=""),"",IF(AND(8&gt;=WBS!$F5,8&lt;=WBS!$T5),IF(WBS!$L5="Done",3,IF(WBS!$L5="Doing",2,IF(WBS!$L5="Blocked",4,IF(WBS!$L5="Deferred",5,1)))),""))</f>
        <v/>
      </c>
      <c r="N5" s="58" t="str">
        <f>IF(OR(WBS!$F5="",WBS!$T5=""),"",IF(AND(9&gt;=WBS!$F5,9&lt;=WBS!$T5),IF(WBS!$L5="Done",3,IF(WBS!$L5="Doing",2,IF(WBS!$L5="Blocked",4,IF(WBS!$L5="Deferred",5,1)))),""))</f>
        <v/>
      </c>
      <c r="O5" s="58" t="str">
        <f>IF(OR(WBS!$F5="",WBS!$T5=""),"",IF(AND(10&gt;=WBS!$F5,10&lt;=WBS!$T5),IF(WBS!$L5="Done",3,IF(WBS!$L5="Doing",2,IF(WBS!$L5="Blocked",4,IF(WBS!$L5="Deferred",5,1)))),""))</f>
        <v/>
      </c>
      <c r="P5" s="58" t="str">
        <f>IF(OR(WBS!$F5="",WBS!$T5=""),"",IF(AND(11&gt;=WBS!$F5,11&lt;=WBS!$T5),IF(WBS!$L5="Done",3,IF(WBS!$L5="Doing",2,IF(WBS!$L5="Blocked",4,IF(WBS!$L5="Deferred",5,1)))),""))</f>
        <v/>
      </c>
      <c r="Q5" s="58" t="str">
        <f>IF(OR(WBS!$F5="",WBS!$T5=""),"",IF(AND(12&gt;=WBS!$F5,12&lt;=WBS!$T5),IF(WBS!$L5="Done",3,IF(WBS!$L5="Doing",2,IF(WBS!$L5="Blocked",4,IF(WBS!$L5="Deferred",5,1)))),""))</f>
        <v/>
      </c>
      <c r="R5" s="58" t="str">
        <f>IF(OR(WBS!$F5="",WBS!$T5=""),"",IF(AND(13&gt;=WBS!$F5,13&lt;=WBS!$T5),IF(WBS!$L5="Done",3,IF(WBS!$L5="Doing",2,IF(WBS!$L5="Blocked",4,IF(WBS!$L5="Deferred",5,1)))),""))</f>
        <v/>
      </c>
      <c r="S5" s="58" t="str">
        <f>IF(OR(WBS!$F5="",WBS!$T5=""),"",IF(AND(14&gt;=WBS!$F5,14&lt;=WBS!$T5),IF(WBS!$L5="Done",3,IF(WBS!$L5="Doing",2,IF(WBS!$L5="Blocked",4,IF(WBS!$L5="Deferred",5,1)))),""))</f>
        <v/>
      </c>
      <c r="T5" s="58" t="str">
        <f>IF(OR(WBS!$F5="",WBS!$T5=""),"",IF(AND(15&gt;=WBS!$F5,15&lt;=WBS!$T5),IF(WBS!$L5="Done",3,IF(WBS!$L5="Doing",2,IF(WBS!$L5="Blocked",4,IF(WBS!$L5="Deferred",5,1)))),""))</f>
        <v/>
      </c>
      <c r="U5" s="58" t="str">
        <f>IF(OR(WBS!$F5="",WBS!$T5=""),"",IF(AND(16&gt;=WBS!$F5,16&lt;=WBS!$T5),IF(WBS!$L5="Done",3,IF(WBS!$L5="Doing",2,IF(WBS!$L5="Blocked",4,IF(WBS!$L5="Deferred",5,1)))),""))</f>
        <v/>
      </c>
      <c r="V5" s="58" t="str">
        <f>IF(OR(WBS!$F5="",WBS!$T5=""),"",IF(AND(17&gt;=WBS!$F5,17&lt;=WBS!$T5),IF(WBS!$L5="Done",3,IF(WBS!$L5="Doing",2,IF(WBS!$L5="Blocked",4,IF(WBS!$L5="Deferred",5,1)))),""))</f>
        <v/>
      </c>
      <c r="W5" s="58" t="str">
        <f>IF(OR(WBS!$F5="",WBS!$T5=""),"",IF(AND(18&gt;=WBS!$F5,18&lt;=WBS!$T5),IF(WBS!$L5="Done",3,IF(WBS!$L5="Doing",2,IF(WBS!$L5="Blocked",4,IF(WBS!$L5="Deferred",5,1)))),""))</f>
        <v/>
      </c>
      <c r="X5" s="58" t="str">
        <f>IF(OR(WBS!$F5="",WBS!$T5=""),"",IF(AND(19&gt;=WBS!$F5,19&lt;=WBS!$T5),IF(WBS!$L5="Done",3,IF(WBS!$L5="Doing",2,IF(WBS!$L5="Blocked",4,IF(WBS!$L5="Deferred",5,1)))),""))</f>
        <v/>
      </c>
      <c r="Y5" s="58" t="str">
        <f>IF(OR(WBS!$F5="",WBS!$T5=""),"",IF(AND(20&gt;=WBS!$F5,20&lt;=WBS!$T5),IF(WBS!$L5="Done",3,IF(WBS!$L5="Doing",2,IF(WBS!$L5="Blocked",4,IF(WBS!$L5="Deferred",5,1)))),""))</f>
        <v/>
      </c>
      <c r="Z5" s="58" t="str">
        <f>IF(OR(WBS!$F5="",WBS!$T5=""),"",IF(AND(21&gt;=WBS!$F5,21&lt;=WBS!$T5),IF(WBS!$L5="Done",3,IF(WBS!$L5="Doing",2,IF(WBS!$L5="Blocked",4,IF(WBS!$L5="Deferred",5,1)))),""))</f>
        <v/>
      </c>
    </row>
    <row r="6" spans="1:26" x14ac:dyDescent="0.3">
      <c r="A6" s="59" t="str">
        <f>WBS!$A6</f>
        <v>1.1</v>
      </c>
      <c r="B6" s="60" t="str">
        <f>WBS!$C6</f>
        <v xml:space="preserve">    Brief analysis and gap discovery</v>
      </c>
      <c r="C6" s="61" t="str">
        <f>IF(WBS!$E6="","",WBS!$E6)</f>
        <v/>
      </c>
      <c r="D6" s="62">
        <f>WBS!$J6</f>
        <v>6</v>
      </c>
      <c r="E6" s="63">
        <f>WBS!$M6</f>
        <v>0</v>
      </c>
      <c r="F6" s="58">
        <f>IF(OR(WBS!$F6="",WBS!$T6=""),"",IF(AND(1&gt;=WBS!$F6,1&lt;=WBS!$T6),IF(WBS!$L6="Done",3,IF(WBS!$L6="Doing",2,IF(WBS!$L6="Blocked",4,IF(WBS!$L6="Deferred",5,1)))),""))</f>
        <v>1</v>
      </c>
      <c r="G6" s="58">
        <f>IF(OR(WBS!$F6="",WBS!$T6=""),"",IF(AND(2&gt;=WBS!$F6,2&lt;=WBS!$T6),IF(WBS!$L6="Done",3,IF(WBS!$L6="Doing",2,IF(WBS!$L6="Blocked",4,IF(WBS!$L6="Deferred",5,1)))),""))</f>
        <v>1</v>
      </c>
      <c r="H6" s="58" t="str">
        <f>IF(OR(WBS!$F6="",WBS!$T6=""),"",IF(AND(3&gt;=WBS!$F6,3&lt;=WBS!$T6),IF(WBS!$L6="Done",3,IF(WBS!$L6="Doing",2,IF(WBS!$L6="Blocked",4,IF(WBS!$L6="Deferred",5,1)))),""))</f>
        <v/>
      </c>
      <c r="I6" s="58" t="str">
        <f>IF(OR(WBS!$F6="",WBS!$T6=""),"",IF(AND(4&gt;=WBS!$F6,4&lt;=WBS!$T6),IF(WBS!$L6="Done",3,IF(WBS!$L6="Doing",2,IF(WBS!$L6="Blocked",4,IF(WBS!$L6="Deferred",5,1)))),""))</f>
        <v/>
      </c>
      <c r="J6" s="58" t="str">
        <f>IF(OR(WBS!$F6="",WBS!$T6=""),"",IF(AND(5&gt;=WBS!$F6,5&lt;=WBS!$T6),IF(WBS!$L6="Done",3,IF(WBS!$L6="Doing",2,IF(WBS!$L6="Blocked",4,IF(WBS!$L6="Deferred",5,1)))),""))</f>
        <v/>
      </c>
      <c r="K6" s="58" t="str">
        <f>IF(OR(WBS!$F6="",WBS!$T6=""),"",IF(AND(6&gt;=WBS!$F6,6&lt;=WBS!$T6),IF(WBS!$L6="Done",3,IF(WBS!$L6="Doing",2,IF(WBS!$L6="Blocked",4,IF(WBS!$L6="Deferred",5,1)))),""))</f>
        <v/>
      </c>
      <c r="L6" s="58" t="str">
        <f>IF(OR(WBS!$F6="",WBS!$T6=""),"",IF(AND(7&gt;=WBS!$F6,7&lt;=WBS!$T6),IF(WBS!$L6="Done",3,IF(WBS!$L6="Doing",2,IF(WBS!$L6="Blocked",4,IF(WBS!$L6="Deferred",5,1)))),""))</f>
        <v/>
      </c>
      <c r="M6" s="58" t="str">
        <f>IF(OR(WBS!$F6="",WBS!$T6=""),"",IF(AND(8&gt;=WBS!$F6,8&lt;=WBS!$T6),IF(WBS!$L6="Done",3,IF(WBS!$L6="Doing",2,IF(WBS!$L6="Blocked",4,IF(WBS!$L6="Deferred",5,1)))),""))</f>
        <v/>
      </c>
      <c r="N6" s="58" t="str">
        <f>IF(OR(WBS!$F6="",WBS!$T6=""),"",IF(AND(9&gt;=WBS!$F6,9&lt;=WBS!$T6),IF(WBS!$L6="Done",3,IF(WBS!$L6="Doing",2,IF(WBS!$L6="Blocked",4,IF(WBS!$L6="Deferred",5,1)))),""))</f>
        <v/>
      </c>
      <c r="O6" s="58" t="str">
        <f>IF(OR(WBS!$F6="",WBS!$T6=""),"",IF(AND(10&gt;=WBS!$F6,10&lt;=WBS!$T6),IF(WBS!$L6="Done",3,IF(WBS!$L6="Doing",2,IF(WBS!$L6="Blocked",4,IF(WBS!$L6="Deferred",5,1)))),""))</f>
        <v/>
      </c>
      <c r="P6" s="58" t="str">
        <f>IF(OR(WBS!$F6="",WBS!$T6=""),"",IF(AND(11&gt;=WBS!$F6,11&lt;=WBS!$T6),IF(WBS!$L6="Done",3,IF(WBS!$L6="Doing",2,IF(WBS!$L6="Blocked",4,IF(WBS!$L6="Deferred",5,1)))),""))</f>
        <v/>
      </c>
      <c r="Q6" s="58" t="str">
        <f>IF(OR(WBS!$F6="",WBS!$T6=""),"",IF(AND(12&gt;=WBS!$F6,12&lt;=WBS!$T6),IF(WBS!$L6="Done",3,IF(WBS!$L6="Doing",2,IF(WBS!$L6="Blocked",4,IF(WBS!$L6="Deferred",5,1)))),""))</f>
        <v/>
      </c>
      <c r="R6" s="58" t="str">
        <f>IF(OR(WBS!$F6="",WBS!$T6=""),"",IF(AND(13&gt;=WBS!$F6,13&lt;=WBS!$T6),IF(WBS!$L6="Done",3,IF(WBS!$L6="Doing",2,IF(WBS!$L6="Blocked",4,IF(WBS!$L6="Deferred",5,1)))),""))</f>
        <v/>
      </c>
      <c r="S6" s="58" t="str">
        <f>IF(OR(WBS!$F6="",WBS!$T6=""),"",IF(AND(14&gt;=WBS!$F6,14&lt;=WBS!$T6),IF(WBS!$L6="Done",3,IF(WBS!$L6="Doing",2,IF(WBS!$L6="Blocked",4,IF(WBS!$L6="Deferred",5,1)))),""))</f>
        <v/>
      </c>
      <c r="T6" s="58" t="str">
        <f>IF(OR(WBS!$F6="",WBS!$T6=""),"",IF(AND(15&gt;=WBS!$F6,15&lt;=WBS!$T6),IF(WBS!$L6="Done",3,IF(WBS!$L6="Doing",2,IF(WBS!$L6="Blocked",4,IF(WBS!$L6="Deferred",5,1)))),""))</f>
        <v/>
      </c>
      <c r="U6" s="58" t="str">
        <f>IF(OR(WBS!$F6="",WBS!$T6=""),"",IF(AND(16&gt;=WBS!$F6,16&lt;=WBS!$T6),IF(WBS!$L6="Done",3,IF(WBS!$L6="Doing",2,IF(WBS!$L6="Blocked",4,IF(WBS!$L6="Deferred",5,1)))),""))</f>
        <v/>
      </c>
      <c r="V6" s="58" t="str">
        <f>IF(OR(WBS!$F6="",WBS!$T6=""),"",IF(AND(17&gt;=WBS!$F6,17&lt;=WBS!$T6),IF(WBS!$L6="Done",3,IF(WBS!$L6="Doing",2,IF(WBS!$L6="Blocked",4,IF(WBS!$L6="Deferred",5,1)))),""))</f>
        <v/>
      </c>
      <c r="W6" s="58" t="str">
        <f>IF(OR(WBS!$F6="",WBS!$T6=""),"",IF(AND(18&gt;=WBS!$F6,18&lt;=WBS!$T6),IF(WBS!$L6="Done",3,IF(WBS!$L6="Doing",2,IF(WBS!$L6="Blocked",4,IF(WBS!$L6="Deferred",5,1)))),""))</f>
        <v/>
      </c>
      <c r="X6" s="58" t="str">
        <f>IF(OR(WBS!$F6="",WBS!$T6=""),"",IF(AND(19&gt;=WBS!$F6,19&lt;=WBS!$T6),IF(WBS!$L6="Done",3,IF(WBS!$L6="Doing",2,IF(WBS!$L6="Blocked",4,IF(WBS!$L6="Deferred",5,1)))),""))</f>
        <v/>
      </c>
      <c r="Y6" s="58" t="str">
        <f>IF(OR(WBS!$F6="",WBS!$T6=""),"",IF(AND(20&gt;=WBS!$F6,20&lt;=WBS!$T6),IF(WBS!$L6="Done",3,IF(WBS!$L6="Doing",2,IF(WBS!$L6="Blocked",4,IF(WBS!$L6="Deferred",5,1)))),""))</f>
        <v/>
      </c>
      <c r="Z6" s="58" t="str">
        <f>IF(OR(WBS!$F6="",WBS!$T6=""),"",IF(AND(21&gt;=WBS!$F6,21&lt;=WBS!$T6),IF(WBS!$L6="Done",3,IF(WBS!$L6="Doing",2,IF(WBS!$L6="Blocked",4,IF(WBS!$L6="Deferred",5,1)))),""))</f>
        <v/>
      </c>
    </row>
    <row r="7" spans="1:26" x14ac:dyDescent="0.3">
      <c r="A7" s="64" t="str">
        <f>WBS!$A7</f>
        <v>1.1.1</v>
      </c>
      <c r="B7" s="65" t="str">
        <f>WBS!$C7</f>
        <v xml:space="preserve">        Decompose brief into atomic statements tagged GIVEN / IMPLIED / ABSENT</v>
      </c>
      <c r="C7" s="66" t="str">
        <f>IF(WBS!$E7="","",WBS!$E7)</f>
        <v>REQ</v>
      </c>
      <c r="D7" s="67">
        <f>WBS!$J7</f>
        <v>3</v>
      </c>
      <c r="E7" s="68">
        <f>WBS!$M7</f>
        <v>0</v>
      </c>
      <c r="F7" s="58">
        <f>IF(OR(WBS!$F7="",WBS!$T7=""),"",IF(AND(1&gt;=WBS!$F7,1&lt;=WBS!$T7),IF(WBS!$L7="Done",3,IF(WBS!$L7="Doing",2,IF(WBS!$L7="Blocked",4,IF(WBS!$L7="Deferred",5,1)))),""))</f>
        <v>1</v>
      </c>
      <c r="G7" s="58" t="str">
        <f>IF(OR(WBS!$F7="",WBS!$T7=""),"",IF(AND(2&gt;=WBS!$F7,2&lt;=WBS!$T7),IF(WBS!$L7="Done",3,IF(WBS!$L7="Doing",2,IF(WBS!$L7="Blocked",4,IF(WBS!$L7="Deferred",5,1)))),""))</f>
        <v/>
      </c>
      <c r="H7" s="58" t="str">
        <f>IF(OR(WBS!$F7="",WBS!$T7=""),"",IF(AND(3&gt;=WBS!$F7,3&lt;=WBS!$T7),IF(WBS!$L7="Done",3,IF(WBS!$L7="Doing",2,IF(WBS!$L7="Blocked",4,IF(WBS!$L7="Deferred",5,1)))),""))</f>
        <v/>
      </c>
      <c r="I7" s="58" t="str">
        <f>IF(OR(WBS!$F7="",WBS!$T7=""),"",IF(AND(4&gt;=WBS!$F7,4&lt;=WBS!$T7),IF(WBS!$L7="Done",3,IF(WBS!$L7="Doing",2,IF(WBS!$L7="Blocked",4,IF(WBS!$L7="Deferred",5,1)))),""))</f>
        <v/>
      </c>
      <c r="J7" s="58" t="str">
        <f>IF(OR(WBS!$F7="",WBS!$T7=""),"",IF(AND(5&gt;=WBS!$F7,5&lt;=WBS!$T7),IF(WBS!$L7="Done",3,IF(WBS!$L7="Doing",2,IF(WBS!$L7="Blocked",4,IF(WBS!$L7="Deferred",5,1)))),""))</f>
        <v/>
      </c>
      <c r="K7" s="58" t="str">
        <f>IF(OR(WBS!$F7="",WBS!$T7=""),"",IF(AND(6&gt;=WBS!$F7,6&lt;=WBS!$T7),IF(WBS!$L7="Done",3,IF(WBS!$L7="Doing",2,IF(WBS!$L7="Blocked",4,IF(WBS!$L7="Deferred",5,1)))),""))</f>
        <v/>
      </c>
      <c r="L7" s="58" t="str">
        <f>IF(OR(WBS!$F7="",WBS!$T7=""),"",IF(AND(7&gt;=WBS!$F7,7&lt;=WBS!$T7),IF(WBS!$L7="Done",3,IF(WBS!$L7="Doing",2,IF(WBS!$L7="Blocked",4,IF(WBS!$L7="Deferred",5,1)))),""))</f>
        <v/>
      </c>
      <c r="M7" s="58" t="str">
        <f>IF(OR(WBS!$F7="",WBS!$T7=""),"",IF(AND(8&gt;=WBS!$F7,8&lt;=WBS!$T7),IF(WBS!$L7="Done",3,IF(WBS!$L7="Doing",2,IF(WBS!$L7="Blocked",4,IF(WBS!$L7="Deferred",5,1)))),""))</f>
        <v/>
      </c>
      <c r="N7" s="58" t="str">
        <f>IF(OR(WBS!$F7="",WBS!$T7=""),"",IF(AND(9&gt;=WBS!$F7,9&lt;=WBS!$T7),IF(WBS!$L7="Done",3,IF(WBS!$L7="Doing",2,IF(WBS!$L7="Blocked",4,IF(WBS!$L7="Deferred",5,1)))),""))</f>
        <v/>
      </c>
      <c r="O7" s="58" t="str">
        <f>IF(OR(WBS!$F7="",WBS!$T7=""),"",IF(AND(10&gt;=WBS!$F7,10&lt;=WBS!$T7),IF(WBS!$L7="Done",3,IF(WBS!$L7="Doing",2,IF(WBS!$L7="Blocked",4,IF(WBS!$L7="Deferred",5,1)))),""))</f>
        <v/>
      </c>
      <c r="P7" s="58" t="str">
        <f>IF(OR(WBS!$F7="",WBS!$T7=""),"",IF(AND(11&gt;=WBS!$F7,11&lt;=WBS!$T7),IF(WBS!$L7="Done",3,IF(WBS!$L7="Doing",2,IF(WBS!$L7="Blocked",4,IF(WBS!$L7="Deferred",5,1)))),""))</f>
        <v/>
      </c>
      <c r="Q7" s="58" t="str">
        <f>IF(OR(WBS!$F7="",WBS!$T7=""),"",IF(AND(12&gt;=WBS!$F7,12&lt;=WBS!$T7),IF(WBS!$L7="Done",3,IF(WBS!$L7="Doing",2,IF(WBS!$L7="Blocked",4,IF(WBS!$L7="Deferred",5,1)))),""))</f>
        <v/>
      </c>
      <c r="R7" s="58" t="str">
        <f>IF(OR(WBS!$F7="",WBS!$T7=""),"",IF(AND(13&gt;=WBS!$F7,13&lt;=WBS!$T7),IF(WBS!$L7="Done",3,IF(WBS!$L7="Doing",2,IF(WBS!$L7="Blocked",4,IF(WBS!$L7="Deferred",5,1)))),""))</f>
        <v/>
      </c>
      <c r="S7" s="58" t="str">
        <f>IF(OR(WBS!$F7="",WBS!$T7=""),"",IF(AND(14&gt;=WBS!$F7,14&lt;=WBS!$T7),IF(WBS!$L7="Done",3,IF(WBS!$L7="Doing",2,IF(WBS!$L7="Blocked",4,IF(WBS!$L7="Deferred",5,1)))),""))</f>
        <v/>
      </c>
      <c r="T7" s="58" t="str">
        <f>IF(OR(WBS!$F7="",WBS!$T7=""),"",IF(AND(15&gt;=WBS!$F7,15&lt;=WBS!$T7),IF(WBS!$L7="Done",3,IF(WBS!$L7="Doing",2,IF(WBS!$L7="Blocked",4,IF(WBS!$L7="Deferred",5,1)))),""))</f>
        <v/>
      </c>
      <c r="U7" s="58" t="str">
        <f>IF(OR(WBS!$F7="",WBS!$T7=""),"",IF(AND(16&gt;=WBS!$F7,16&lt;=WBS!$T7),IF(WBS!$L7="Done",3,IF(WBS!$L7="Doing",2,IF(WBS!$L7="Blocked",4,IF(WBS!$L7="Deferred",5,1)))),""))</f>
        <v/>
      </c>
      <c r="V7" s="58" t="str">
        <f>IF(OR(WBS!$F7="",WBS!$T7=""),"",IF(AND(17&gt;=WBS!$F7,17&lt;=WBS!$T7),IF(WBS!$L7="Done",3,IF(WBS!$L7="Doing",2,IF(WBS!$L7="Blocked",4,IF(WBS!$L7="Deferred",5,1)))),""))</f>
        <v/>
      </c>
      <c r="W7" s="58" t="str">
        <f>IF(OR(WBS!$F7="",WBS!$T7=""),"",IF(AND(18&gt;=WBS!$F7,18&lt;=WBS!$T7),IF(WBS!$L7="Done",3,IF(WBS!$L7="Doing",2,IF(WBS!$L7="Blocked",4,IF(WBS!$L7="Deferred",5,1)))),""))</f>
        <v/>
      </c>
      <c r="X7" s="58" t="str">
        <f>IF(OR(WBS!$F7="",WBS!$T7=""),"",IF(AND(19&gt;=WBS!$F7,19&lt;=WBS!$T7),IF(WBS!$L7="Done",3,IF(WBS!$L7="Doing",2,IF(WBS!$L7="Blocked",4,IF(WBS!$L7="Deferred",5,1)))),""))</f>
        <v/>
      </c>
      <c r="Y7" s="58" t="str">
        <f>IF(OR(WBS!$F7="",WBS!$T7=""),"",IF(AND(20&gt;=WBS!$F7,20&lt;=WBS!$T7),IF(WBS!$L7="Done",3,IF(WBS!$L7="Doing",2,IF(WBS!$L7="Blocked",4,IF(WBS!$L7="Deferred",5,1)))),""))</f>
        <v/>
      </c>
      <c r="Z7" s="58" t="str">
        <f>IF(OR(WBS!$F7="",WBS!$T7=""),"",IF(AND(21&gt;=WBS!$F7,21&lt;=WBS!$T7),IF(WBS!$L7="Done",3,IF(WBS!$L7="Doing",2,IF(WBS!$L7="Blocked",4,IF(WBS!$L7="Deferred",5,1)))),""))</f>
        <v/>
      </c>
    </row>
    <row r="8" spans="1:26" x14ac:dyDescent="0.3">
      <c r="A8" s="64" t="str">
        <f>WBS!$A8</f>
        <v>1.1.2</v>
      </c>
      <c r="B8" s="65" t="str">
        <f>WBS!$C8</f>
        <v xml:space="preserve">        Convert plan section 6 findings into REQ / ASM / EDG / OQ entries</v>
      </c>
      <c r="C8" s="66" t="str">
        <f>IF(WBS!$E8="","",WBS!$E8)</f>
        <v>REQ</v>
      </c>
      <c r="D8" s="67">
        <f>WBS!$J8</f>
        <v>2</v>
      </c>
      <c r="E8" s="68">
        <f>WBS!$M8</f>
        <v>0</v>
      </c>
      <c r="F8" s="58" t="str">
        <f>IF(OR(WBS!$F8="",WBS!$T8=""),"",IF(AND(1&gt;=WBS!$F8,1&lt;=WBS!$T8),IF(WBS!$L8="Done",3,IF(WBS!$L8="Doing",2,IF(WBS!$L8="Blocked",4,IF(WBS!$L8="Deferred",5,1)))),""))</f>
        <v/>
      </c>
      <c r="G8" s="58">
        <f>IF(OR(WBS!$F8="",WBS!$T8=""),"",IF(AND(2&gt;=WBS!$F8,2&lt;=WBS!$T8),IF(WBS!$L8="Done",3,IF(WBS!$L8="Doing",2,IF(WBS!$L8="Blocked",4,IF(WBS!$L8="Deferred",5,1)))),""))</f>
        <v>1</v>
      </c>
      <c r="H8" s="58" t="str">
        <f>IF(OR(WBS!$F8="",WBS!$T8=""),"",IF(AND(3&gt;=WBS!$F8,3&lt;=WBS!$T8),IF(WBS!$L8="Done",3,IF(WBS!$L8="Doing",2,IF(WBS!$L8="Blocked",4,IF(WBS!$L8="Deferred",5,1)))),""))</f>
        <v/>
      </c>
      <c r="I8" s="58" t="str">
        <f>IF(OR(WBS!$F8="",WBS!$T8=""),"",IF(AND(4&gt;=WBS!$F8,4&lt;=WBS!$T8),IF(WBS!$L8="Done",3,IF(WBS!$L8="Doing",2,IF(WBS!$L8="Blocked",4,IF(WBS!$L8="Deferred",5,1)))),""))</f>
        <v/>
      </c>
      <c r="J8" s="58" t="str">
        <f>IF(OR(WBS!$F8="",WBS!$T8=""),"",IF(AND(5&gt;=WBS!$F8,5&lt;=WBS!$T8),IF(WBS!$L8="Done",3,IF(WBS!$L8="Doing",2,IF(WBS!$L8="Blocked",4,IF(WBS!$L8="Deferred",5,1)))),""))</f>
        <v/>
      </c>
      <c r="K8" s="58" t="str">
        <f>IF(OR(WBS!$F8="",WBS!$T8=""),"",IF(AND(6&gt;=WBS!$F8,6&lt;=WBS!$T8),IF(WBS!$L8="Done",3,IF(WBS!$L8="Doing",2,IF(WBS!$L8="Blocked",4,IF(WBS!$L8="Deferred",5,1)))),""))</f>
        <v/>
      </c>
      <c r="L8" s="58" t="str">
        <f>IF(OR(WBS!$F8="",WBS!$T8=""),"",IF(AND(7&gt;=WBS!$F8,7&lt;=WBS!$T8),IF(WBS!$L8="Done",3,IF(WBS!$L8="Doing",2,IF(WBS!$L8="Blocked",4,IF(WBS!$L8="Deferred",5,1)))),""))</f>
        <v/>
      </c>
      <c r="M8" s="58" t="str">
        <f>IF(OR(WBS!$F8="",WBS!$T8=""),"",IF(AND(8&gt;=WBS!$F8,8&lt;=WBS!$T8),IF(WBS!$L8="Done",3,IF(WBS!$L8="Doing",2,IF(WBS!$L8="Blocked",4,IF(WBS!$L8="Deferred",5,1)))),""))</f>
        <v/>
      </c>
      <c r="N8" s="58" t="str">
        <f>IF(OR(WBS!$F8="",WBS!$T8=""),"",IF(AND(9&gt;=WBS!$F8,9&lt;=WBS!$T8),IF(WBS!$L8="Done",3,IF(WBS!$L8="Doing",2,IF(WBS!$L8="Blocked",4,IF(WBS!$L8="Deferred",5,1)))),""))</f>
        <v/>
      </c>
      <c r="O8" s="58" t="str">
        <f>IF(OR(WBS!$F8="",WBS!$T8=""),"",IF(AND(10&gt;=WBS!$F8,10&lt;=WBS!$T8),IF(WBS!$L8="Done",3,IF(WBS!$L8="Doing",2,IF(WBS!$L8="Blocked",4,IF(WBS!$L8="Deferred",5,1)))),""))</f>
        <v/>
      </c>
      <c r="P8" s="58" t="str">
        <f>IF(OR(WBS!$F8="",WBS!$T8=""),"",IF(AND(11&gt;=WBS!$F8,11&lt;=WBS!$T8),IF(WBS!$L8="Done",3,IF(WBS!$L8="Doing",2,IF(WBS!$L8="Blocked",4,IF(WBS!$L8="Deferred",5,1)))),""))</f>
        <v/>
      </c>
      <c r="Q8" s="58" t="str">
        <f>IF(OR(WBS!$F8="",WBS!$T8=""),"",IF(AND(12&gt;=WBS!$F8,12&lt;=WBS!$T8),IF(WBS!$L8="Done",3,IF(WBS!$L8="Doing",2,IF(WBS!$L8="Blocked",4,IF(WBS!$L8="Deferred",5,1)))),""))</f>
        <v/>
      </c>
      <c r="R8" s="58" t="str">
        <f>IF(OR(WBS!$F8="",WBS!$T8=""),"",IF(AND(13&gt;=WBS!$F8,13&lt;=WBS!$T8),IF(WBS!$L8="Done",3,IF(WBS!$L8="Doing",2,IF(WBS!$L8="Blocked",4,IF(WBS!$L8="Deferred",5,1)))),""))</f>
        <v/>
      </c>
      <c r="S8" s="58" t="str">
        <f>IF(OR(WBS!$F8="",WBS!$T8=""),"",IF(AND(14&gt;=WBS!$F8,14&lt;=WBS!$T8),IF(WBS!$L8="Done",3,IF(WBS!$L8="Doing",2,IF(WBS!$L8="Blocked",4,IF(WBS!$L8="Deferred",5,1)))),""))</f>
        <v/>
      </c>
      <c r="T8" s="58" t="str">
        <f>IF(OR(WBS!$F8="",WBS!$T8=""),"",IF(AND(15&gt;=WBS!$F8,15&lt;=WBS!$T8),IF(WBS!$L8="Done",3,IF(WBS!$L8="Doing",2,IF(WBS!$L8="Blocked",4,IF(WBS!$L8="Deferred",5,1)))),""))</f>
        <v/>
      </c>
      <c r="U8" s="58" t="str">
        <f>IF(OR(WBS!$F8="",WBS!$T8=""),"",IF(AND(16&gt;=WBS!$F8,16&lt;=WBS!$T8),IF(WBS!$L8="Done",3,IF(WBS!$L8="Doing",2,IF(WBS!$L8="Blocked",4,IF(WBS!$L8="Deferred",5,1)))),""))</f>
        <v/>
      </c>
      <c r="V8" s="58" t="str">
        <f>IF(OR(WBS!$F8="",WBS!$T8=""),"",IF(AND(17&gt;=WBS!$F8,17&lt;=WBS!$T8),IF(WBS!$L8="Done",3,IF(WBS!$L8="Doing",2,IF(WBS!$L8="Blocked",4,IF(WBS!$L8="Deferred",5,1)))),""))</f>
        <v/>
      </c>
      <c r="W8" s="58" t="str">
        <f>IF(OR(WBS!$F8="",WBS!$T8=""),"",IF(AND(18&gt;=WBS!$F8,18&lt;=WBS!$T8),IF(WBS!$L8="Done",3,IF(WBS!$L8="Doing",2,IF(WBS!$L8="Blocked",4,IF(WBS!$L8="Deferred",5,1)))),""))</f>
        <v/>
      </c>
      <c r="X8" s="58" t="str">
        <f>IF(OR(WBS!$F8="",WBS!$T8=""),"",IF(AND(19&gt;=WBS!$F8,19&lt;=WBS!$T8),IF(WBS!$L8="Done",3,IF(WBS!$L8="Doing",2,IF(WBS!$L8="Blocked",4,IF(WBS!$L8="Deferred",5,1)))),""))</f>
        <v/>
      </c>
      <c r="Y8" s="58" t="str">
        <f>IF(OR(WBS!$F8="",WBS!$T8=""),"",IF(AND(20&gt;=WBS!$F8,20&lt;=WBS!$T8),IF(WBS!$L8="Done",3,IF(WBS!$L8="Doing",2,IF(WBS!$L8="Blocked",4,IF(WBS!$L8="Deferred",5,1)))),""))</f>
        <v/>
      </c>
      <c r="Z8" s="58" t="str">
        <f>IF(OR(WBS!$F8="",WBS!$T8=""),"",IF(AND(21&gt;=WBS!$F8,21&lt;=WBS!$T8),IF(WBS!$L8="Done",3,IF(WBS!$L8="Doing",2,IF(WBS!$L8="Blocked",4,IF(WBS!$L8="Deferred",5,1)))),""))</f>
        <v/>
      </c>
    </row>
    <row r="9" spans="1:26" x14ac:dyDescent="0.3">
      <c r="A9" s="64" t="str">
        <f>WBS!$A9</f>
        <v>1.1.3</v>
      </c>
      <c r="B9" s="65" t="str">
        <f>WBS!$C9</f>
        <v xml:space="preserve">        Assumptions register with rationale</v>
      </c>
      <c r="C9" s="66" t="str">
        <f>IF(WBS!$E9="","",WBS!$E9)</f>
        <v>REQ</v>
      </c>
      <c r="D9" s="67">
        <f>WBS!$J9</f>
        <v>1</v>
      </c>
      <c r="E9" s="68">
        <f>WBS!$M9</f>
        <v>0</v>
      </c>
      <c r="F9" s="58" t="str">
        <f>IF(OR(WBS!$F9="",WBS!$T9=""),"",IF(AND(1&gt;=WBS!$F9,1&lt;=WBS!$T9),IF(WBS!$L9="Done",3,IF(WBS!$L9="Doing",2,IF(WBS!$L9="Blocked",4,IF(WBS!$L9="Deferred",5,1)))),""))</f>
        <v/>
      </c>
      <c r="G9" s="58">
        <f>IF(OR(WBS!$F9="",WBS!$T9=""),"",IF(AND(2&gt;=WBS!$F9,2&lt;=WBS!$T9),IF(WBS!$L9="Done",3,IF(WBS!$L9="Doing",2,IF(WBS!$L9="Blocked",4,IF(WBS!$L9="Deferred",5,1)))),""))</f>
        <v>1</v>
      </c>
      <c r="H9" s="58" t="str">
        <f>IF(OR(WBS!$F9="",WBS!$T9=""),"",IF(AND(3&gt;=WBS!$F9,3&lt;=WBS!$T9),IF(WBS!$L9="Done",3,IF(WBS!$L9="Doing",2,IF(WBS!$L9="Blocked",4,IF(WBS!$L9="Deferred",5,1)))),""))</f>
        <v/>
      </c>
      <c r="I9" s="58" t="str">
        <f>IF(OR(WBS!$F9="",WBS!$T9=""),"",IF(AND(4&gt;=WBS!$F9,4&lt;=WBS!$T9),IF(WBS!$L9="Done",3,IF(WBS!$L9="Doing",2,IF(WBS!$L9="Blocked",4,IF(WBS!$L9="Deferred",5,1)))),""))</f>
        <v/>
      </c>
      <c r="J9" s="58" t="str">
        <f>IF(OR(WBS!$F9="",WBS!$T9=""),"",IF(AND(5&gt;=WBS!$F9,5&lt;=WBS!$T9),IF(WBS!$L9="Done",3,IF(WBS!$L9="Doing",2,IF(WBS!$L9="Blocked",4,IF(WBS!$L9="Deferred",5,1)))),""))</f>
        <v/>
      </c>
      <c r="K9" s="58" t="str">
        <f>IF(OR(WBS!$F9="",WBS!$T9=""),"",IF(AND(6&gt;=WBS!$F9,6&lt;=WBS!$T9),IF(WBS!$L9="Done",3,IF(WBS!$L9="Doing",2,IF(WBS!$L9="Blocked",4,IF(WBS!$L9="Deferred",5,1)))),""))</f>
        <v/>
      </c>
      <c r="L9" s="58" t="str">
        <f>IF(OR(WBS!$F9="",WBS!$T9=""),"",IF(AND(7&gt;=WBS!$F9,7&lt;=WBS!$T9),IF(WBS!$L9="Done",3,IF(WBS!$L9="Doing",2,IF(WBS!$L9="Blocked",4,IF(WBS!$L9="Deferred",5,1)))),""))</f>
        <v/>
      </c>
      <c r="M9" s="58" t="str">
        <f>IF(OR(WBS!$F9="",WBS!$T9=""),"",IF(AND(8&gt;=WBS!$F9,8&lt;=WBS!$T9),IF(WBS!$L9="Done",3,IF(WBS!$L9="Doing",2,IF(WBS!$L9="Blocked",4,IF(WBS!$L9="Deferred",5,1)))),""))</f>
        <v/>
      </c>
      <c r="N9" s="58" t="str">
        <f>IF(OR(WBS!$F9="",WBS!$T9=""),"",IF(AND(9&gt;=WBS!$F9,9&lt;=WBS!$T9),IF(WBS!$L9="Done",3,IF(WBS!$L9="Doing",2,IF(WBS!$L9="Blocked",4,IF(WBS!$L9="Deferred",5,1)))),""))</f>
        <v/>
      </c>
      <c r="O9" s="58" t="str">
        <f>IF(OR(WBS!$F9="",WBS!$T9=""),"",IF(AND(10&gt;=WBS!$F9,10&lt;=WBS!$T9),IF(WBS!$L9="Done",3,IF(WBS!$L9="Doing",2,IF(WBS!$L9="Blocked",4,IF(WBS!$L9="Deferred",5,1)))),""))</f>
        <v/>
      </c>
      <c r="P9" s="58" t="str">
        <f>IF(OR(WBS!$F9="",WBS!$T9=""),"",IF(AND(11&gt;=WBS!$F9,11&lt;=WBS!$T9),IF(WBS!$L9="Done",3,IF(WBS!$L9="Doing",2,IF(WBS!$L9="Blocked",4,IF(WBS!$L9="Deferred",5,1)))),""))</f>
        <v/>
      </c>
      <c r="Q9" s="58" t="str">
        <f>IF(OR(WBS!$F9="",WBS!$T9=""),"",IF(AND(12&gt;=WBS!$F9,12&lt;=WBS!$T9),IF(WBS!$L9="Done",3,IF(WBS!$L9="Doing",2,IF(WBS!$L9="Blocked",4,IF(WBS!$L9="Deferred",5,1)))),""))</f>
        <v/>
      </c>
      <c r="R9" s="58" t="str">
        <f>IF(OR(WBS!$F9="",WBS!$T9=""),"",IF(AND(13&gt;=WBS!$F9,13&lt;=WBS!$T9),IF(WBS!$L9="Done",3,IF(WBS!$L9="Doing",2,IF(WBS!$L9="Blocked",4,IF(WBS!$L9="Deferred",5,1)))),""))</f>
        <v/>
      </c>
      <c r="S9" s="58" t="str">
        <f>IF(OR(WBS!$F9="",WBS!$T9=""),"",IF(AND(14&gt;=WBS!$F9,14&lt;=WBS!$T9),IF(WBS!$L9="Done",3,IF(WBS!$L9="Doing",2,IF(WBS!$L9="Blocked",4,IF(WBS!$L9="Deferred",5,1)))),""))</f>
        <v/>
      </c>
      <c r="T9" s="58" t="str">
        <f>IF(OR(WBS!$F9="",WBS!$T9=""),"",IF(AND(15&gt;=WBS!$F9,15&lt;=WBS!$T9),IF(WBS!$L9="Done",3,IF(WBS!$L9="Doing",2,IF(WBS!$L9="Blocked",4,IF(WBS!$L9="Deferred",5,1)))),""))</f>
        <v/>
      </c>
      <c r="U9" s="58" t="str">
        <f>IF(OR(WBS!$F9="",WBS!$T9=""),"",IF(AND(16&gt;=WBS!$F9,16&lt;=WBS!$T9),IF(WBS!$L9="Done",3,IF(WBS!$L9="Doing",2,IF(WBS!$L9="Blocked",4,IF(WBS!$L9="Deferred",5,1)))),""))</f>
        <v/>
      </c>
      <c r="V9" s="58" t="str">
        <f>IF(OR(WBS!$F9="",WBS!$T9=""),"",IF(AND(17&gt;=WBS!$F9,17&lt;=WBS!$T9),IF(WBS!$L9="Done",3,IF(WBS!$L9="Doing",2,IF(WBS!$L9="Blocked",4,IF(WBS!$L9="Deferred",5,1)))),""))</f>
        <v/>
      </c>
      <c r="W9" s="58" t="str">
        <f>IF(OR(WBS!$F9="",WBS!$T9=""),"",IF(AND(18&gt;=WBS!$F9,18&lt;=WBS!$T9),IF(WBS!$L9="Done",3,IF(WBS!$L9="Doing",2,IF(WBS!$L9="Blocked",4,IF(WBS!$L9="Deferred",5,1)))),""))</f>
        <v/>
      </c>
      <c r="X9" s="58" t="str">
        <f>IF(OR(WBS!$F9="",WBS!$T9=""),"",IF(AND(19&gt;=WBS!$F9,19&lt;=WBS!$T9),IF(WBS!$L9="Done",3,IF(WBS!$L9="Doing",2,IF(WBS!$L9="Blocked",4,IF(WBS!$L9="Deferred",5,1)))),""))</f>
        <v/>
      </c>
      <c r="Y9" s="58" t="str">
        <f>IF(OR(WBS!$F9="",WBS!$T9=""),"",IF(AND(20&gt;=WBS!$F9,20&lt;=WBS!$T9),IF(WBS!$L9="Done",3,IF(WBS!$L9="Doing",2,IF(WBS!$L9="Blocked",4,IF(WBS!$L9="Deferred",5,1)))),""))</f>
        <v/>
      </c>
      <c r="Z9" s="58" t="str">
        <f>IF(OR(WBS!$F9="",WBS!$T9=""),"",IF(AND(21&gt;=WBS!$F9,21&lt;=WBS!$T9),IF(WBS!$L9="Done",3,IF(WBS!$L9="Doing",2,IF(WBS!$L9="Blocked",4,IF(WBS!$L9="Deferred",5,1)))),""))</f>
        <v/>
      </c>
    </row>
    <row r="10" spans="1:26" x14ac:dyDescent="0.3">
      <c r="A10" s="59" t="str">
        <f>WBS!$A10</f>
        <v>1.2</v>
      </c>
      <c r="B10" s="60" t="str">
        <f>WBS!$C10</f>
        <v xml:space="preserve">    Stakeholder simulation</v>
      </c>
      <c r="C10" s="61" t="str">
        <f>IF(WBS!$E10="","",WBS!$E10)</f>
        <v/>
      </c>
      <c r="D10" s="62">
        <f>WBS!$J10</f>
        <v>10</v>
      </c>
      <c r="E10" s="63">
        <f>WBS!$M10</f>
        <v>0</v>
      </c>
      <c r="F10" s="58">
        <f>IF(OR(WBS!$F10="",WBS!$T10=""),"",IF(AND(1&gt;=WBS!$F10,1&lt;=WBS!$T10),IF(WBS!$L10="Done",3,IF(WBS!$L10="Doing",2,IF(WBS!$L10="Blocked",4,IF(WBS!$L10="Deferred",5,1)))),""))</f>
        <v>1</v>
      </c>
      <c r="G10" s="58">
        <f>IF(OR(WBS!$F10="",WBS!$T10=""),"",IF(AND(2&gt;=WBS!$F10,2&lt;=WBS!$T10),IF(WBS!$L10="Done",3,IF(WBS!$L10="Doing",2,IF(WBS!$L10="Blocked",4,IF(WBS!$L10="Deferred",5,1)))),""))</f>
        <v>1</v>
      </c>
      <c r="H10" s="58">
        <f>IF(OR(WBS!$F10="",WBS!$T10=""),"",IF(AND(3&gt;=WBS!$F10,3&lt;=WBS!$T10),IF(WBS!$L10="Done",3,IF(WBS!$L10="Doing",2,IF(WBS!$L10="Blocked",4,IF(WBS!$L10="Deferred",5,1)))),""))</f>
        <v>1</v>
      </c>
      <c r="I10" s="58" t="str">
        <f>IF(OR(WBS!$F10="",WBS!$T10=""),"",IF(AND(4&gt;=WBS!$F10,4&lt;=WBS!$T10),IF(WBS!$L10="Done",3,IF(WBS!$L10="Doing",2,IF(WBS!$L10="Blocked",4,IF(WBS!$L10="Deferred",5,1)))),""))</f>
        <v/>
      </c>
      <c r="J10" s="58" t="str">
        <f>IF(OR(WBS!$F10="",WBS!$T10=""),"",IF(AND(5&gt;=WBS!$F10,5&lt;=WBS!$T10),IF(WBS!$L10="Done",3,IF(WBS!$L10="Doing",2,IF(WBS!$L10="Blocked",4,IF(WBS!$L10="Deferred",5,1)))),""))</f>
        <v/>
      </c>
      <c r="K10" s="58" t="str">
        <f>IF(OR(WBS!$F10="",WBS!$T10=""),"",IF(AND(6&gt;=WBS!$F10,6&lt;=WBS!$T10),IF(WBS!$L10="Done",3,IF(WBS!$L10="Doing",2,IF(WBS!$L10="Blocked",4,IF(WBS!$L10="Deferred",5,1)))),""))</f>
        <v/>
      </c>
      <c r="L10" s="58" t="str">
        <f>IF(OR(WBS!$F10="",WBS!$T10=""),"",IF(AND(7&gt;=WBS!$F10,7&lt;=WBS!$T10),IF(WBS!$L10="Done",3,IF(WBS!$L10="Doing",2,IF(WBS!$L10="Blocked",4,IF(WBS!$L10="Deferred",5,1)))),""))</f>
        <v/>
      </c>
      <c r="M10" s="58" t="str">
        <f>IF(OR(WBS!$F10="",WBS!$T10=""),"",IF(AND(8&gt;=WBS!$F10,8&lt;=WBS!$T10),IF(WBS!$L10="Done",3,IF(WBS!$L10="Doing",2,IF(WBS!$L10="Blocked",4,IF(WBS!$L10="Deferred",5,1)))),""))</f>
        <v/>
      </c>
      <c r="N10" s="58" t="str">
        <f>IF(OR(WBS!$F10="",WBS!$T10=""),"",IF(AND(9&gt;=WBS!$F10,9&lt;=WBS!$T10),IF(WBS!$L10="Done",3,IF(WBS!$L10="Doing",2,IF(WBS!$L10="Blocked",4,IF(WBS!$L10="Deferred",5,1)))),""))</f>
        <v/>
      </c>
      <c r="O10" s="58" t="str">
        <f>IF(OR(WBS!$F10="",WBS!$T10=""),"",IF(AND(10&gt;=WBS!$F10,10&lt;=WBS!$T10),IF(WBS!$L10="Done",3,IF(WBS!$L10="Doing",2,IF(WBS!$L10="Blocked",4,IF(WBS!$L10="Deferred",5,1)))),""))</f>
        <v/>
      </c>
      <c r="P10" s="58" t="str">
        <f>IF(OR(WBS!$F10="",WBS!$T10=""),"",IF(AND(11&gt;=WBS!$F10,11&lt;=WBS!$T10),IF(WBS!$L10="Done",3,IF(WBS!$L10="Doing",2,IF(WBS!$L10="Blocked",4,IF(WBS!$L10="Deferred",5,1)))),""))</f>
        <v/>
      </c>
      <c r="Q10" s="58" t="str">
        <f>IF(OR(WBS!$F10="",WBS!$T10=""),"",IF(AND(12&gt;=WBS!$F10,12&lt;=WBS!$T10),IF(WBS!$L10="Done",3,IF(WBS!$L10="Doing",2,IF(WBS!$L10="Blocked",4,IF(WBS!$L10="Deferred",5,1)))),""))</f>
        <v/>
      </c>
      <c r="R10" s="58" t="str">
        <f>IF(OR(WBS!$F10="",WBS!$T10=""),"",IF(AND(13&gt;=WBS!$F10,13&lt;=WBS!$T10),IF(WBS!$L10="Done",3,IF(WBS!$L10="Doing",2,IF(WBS!$L10="Blocked",4,IF(WBS!$L10="Deferred",5,1)))),""))</f>
        <v/>
      </c>
      <c r="S10" s="58" t="str">
        <f>IF(OR(WBS!$F10="",WBS!$T10=""),"",IF(AND(14&gt;=WBS!$F10,14&lt;=WBS!$T10),IF(WBS!$L10="Done",3,IF(WBS!$L10="Doing",2,IF(WBS!$L10="Blocked",4,IF(WBS!$L10="Deferred",5,1)))),""))</f>
        <v/>
      </c>
      <c r="T10" s="58" t="str">
        <f>IF(OR(WBS!$F10="",WBS!$T10=""),"",IF(AND(15&gt;=WBS!$F10,15&lt;=WBS!$T10),IF(WBS!$L10="Done",3,IF(WBS!$L10="Doing",2,IF(WBS!$L10="Blocked",4,IF(WBS!$L10="Deferred",5,1)))),""))</f>
        <v/>
      </c>
      <c r="U10" s="58" t="str">
        <f>IF(OR(WBS!$F10="",WBS!$T10=""),"",IF(AND(16&gt;=WBS!$F10,16&lt;=WBS!$T10),IF(WBS!$L10="Done",3,IF(WBS!$L10="Doing",2,IF(WBS!$L10="Blocked",4,IF(WBS!$L10="Deferred",5,1)))),""))</f>
        <v/>
      </c>
      <c r="V10" s="58" t="str">
        <f>IF(OR(WBS!$F10="",WBS!$T10=""),"",IF(AND(17&gt;=WBS!$F10,17&lt;=WBS!$T10),IF(WBS!$L10="Done",3,IF(WBS!$L10="Doing",2,IF(WBS!$L10="Blocked",4,IF(WBS!$L10="Deferred",5,1)))),""))</f>
        <v/>
      </c>
      <c r="W10" s="58" t="str">
        <f>IF(OR(WBS!$F10="",WBS!$T10=""),"",IF(AND(18&gt;=WBS!$F10,18&lt;=WBS!$T10),IF(WBS!$L10="Done",3,IF(WBS!$L10="Doing",2,IF(WBS!$L10="Blocked",4,IF(WBS!$L10="Deferred",5,1)))),""))</f>
        <v/>
      </c>
      <c r="X10" s="58" t="str">
        <f>IF(OR(WBS!$F10="",WBS!$T10=""),"",IF(AND(19&gt;=WBS!$F10,19&lt;=WBS!$T10),IF(WBS!$L10="Done",3,IF(WBS!$L10="Doing",2,IF(WBS!$L10="Blocked",4,IF(WBS!$L10="Deferred",5,1)))),""))</f>
        <v/>
      </c>
      <c r="Y10" s="58" t="str">
        <f>IF(OR(WBS!$F10="",WBS!$T10=""),"",IF(AND(20&gt;=WBS!$F10,20&lt;=WBS!$T10),IF(WBS!$L10="Done",3,IF(WBS!$L10="Doing",2,IF(WBS!$L10="Blocked",4,IF(WBS!$L10="Deferred",5,1)))),""))</f>
        <v/>
      </c>
      <c r="Z10" s="58" t="str">
        <f>IF(OR(WBS!$F10="",WBS!$T10=""),"",IF(AND(21&gt;=WBS!$F10,21&lt;=WBS!$T10),IF(WBS!$L10="Done",3,IF(WBS!$L10="Doing",2,IF(WBS!$L10="Blocked",4,IF(WBS!$L10="Deferred",5,1)))),""))</f>
        <v/>
      </c>
    </row>
    <row r="11" spans="1:26" x14ac:dyDescent="0.3">
      <c r="A11" s="64" t="str">
        <f>WBS!$A11</f>
        <v>1.2.1</v>
      </c>
      <c r="B11" s="65" t="str">
        <f>WBS!$C11</f>
        <v xml:space="preserve">        Persona interviews 1-6 commuter, traveller, impaired passenger, driver, station manager, controller</v>
      </c>
      <c r="C11" s="66" t="str">
        <f>IF(WBS!$E11="","",WBS!$E11)</f>
        <v>REQ</v>
      </c>
      <c r="D11" s="67">
        <f>WBS!$J11</f>
        <v>3</v>
      </c>
      <c r="E11" s="68">
        <f>WBS!$M11</f>
        <v>0</v>
      </c>
      <c r="F11" s="58">
        <f>IF(OR(WBS!$F11="",WBS!$T11=""),"",IF(AND(1&gt;=WBS!$F11,1&lt;=WBS!$T11),IF(WBS!$L11="Done",3,IF(WBS!$L11="Doing",2,IF(WBS!$L11="Blocked",4,IF(WBS!$L11="Deferred",5,1)))),""))</f>
        <v>1</v>
      </c>
      <c r="G11" s="58" t="str">
        <f>IF(OR(WBS!$F11="",WBS!$T11=""),"",IF(AND(2&gt;=WBS!$F11,2&lt;=WBS!$T11),IF(WBS!$L11="Done",3,IF(WBS!$L11="Doing",2,IF(WBS!$L11="Blocked",4,IF(WBS!$L11="Deferred",5,1)))),""))</f>
        <v/>
      </c>
      <c r="H11" s="58" t="str">
        <f>IF(OR(WBS!$F11="",WBS!$T11=""),"",IF(AND(3&gt;=WBS!$F11,3&lt;=WBS!$T11),IF(WBS!$L11="Done",3,IF(WBS!$L11="Doing",2,IF(WBS!$L11="Blocked",4,IF(WBS!$L11="Deferred",5,1)))),""))</f>
        <v/>
      </c>
      <c r="I11" s="58" t="str">
        <f>IF(OR(WBS!$F11="",WBS!$T11=""),"",IF(AND(4&gt;=WBS!$F11,4&lt;=WBS!$T11),IF(WBS!$L11="Done",3,IF(WBS!$L11="Doing",2,IF(WBS!$L11="Blocked",4,IF(WBS!$L11="Deferred",5,1)))),""))</f>
        <v/>
      </c>
      <c r="J11" s="58" t="str">
        <f>IF(OR(WBS!$F11="",WBS!$T11=""),"",IF(AND(5&gt;=WBS!$F11,5&lt;=WBS!$T11),IF(WBS!$L11="Done",3,IF(WBS!$L11="Doing",2,IF(WBS!$L11="Blocked",4,IF(WBS!$L11="Deferred",5,1)))),""))</f>
        <v/>
      </c>
      <c r="K11" s="58" t="str">
        <f>IF(OR(WBS!$F11="",WBS!$T11=""),"",IF(AND(6&gt;=WBS!$F11,6&lt;=WBS!$T11),IF(WBS!$L11="Done",3,IF(WBS!$L11="Doing",2,IF(WBS!$L11="Blocked",4,IF(WBS!$L11="Deferred",5,1)))),""))</f>
        <v/>
      </c>
      <c r="L11" s="58" t="str">
        <f>IF(OR(WBS!$F11="",WBS!$T11=""),"",IF(AND(7&gt;=WBS!$F11,7&lt;=WBS!$T11),IF(WBS!$L11="Done",3,IF(WBS!$L11="Doing",2,IF(WBS!$L11="Blocked",4,IF(WBS!$L11="Deferred",5,1)))),""))</f>
        <v/>
      </c>
      <c r="M11" s="58" t="str">
        <f>IF(OR(WBS!$F11="",WBS!$T11=""),"",IF(AND(8&gt;=WBS!$F11,8&lt;=WBS!$T11),IF(WBS!$L11="Done",3,IF(WBS!$L11="Doing",2,IF(WBS!$L11="Blocked",4,IF(WBS!$L11="Deferred",5,1)))),""))</f>
        <v/>
      </c>
      <c r="N11" s="58" t="str">
        <f>IF(OR(WBS!$F11="",WBS!$T11=""),"",IF(AND(9&gt;=WBS!$F11,9&lt;=WBS!$T11),IF(WBS!$L11="Done",3,IF(WBS!$L11="Doing",2,IF(WBS!$L11="Blocked",4,IF(WBS!$L11="Deferred",5,1)))),""))</f>
        <v/>
      </c>
      <c r="O11" s="58" t="str">
        <f>IF(OR(WBS!$F11="",WBS!$T11=""),"",IF(AND(10&gt;=WBS!$F11,10&lt;=WBS!$T11),IF(WBS!$L11="Done",3,IF(WBS!$L11="Doing",2,IF(WBS!$L11="Blocked",4,IF(WBS!$L11="Deferred",5,1)))),""))</f>
        <v/>
      </c>
      <c r="P11" s="58" t="str">
        <f>IF(OR(WBS!$F11="",WBS!$T11=""),"",IF(AND(11&gt;=WBS!$F11,11&lt;=WBS!$T11),IF(WBS!$L11="Done",3,IF(WBS!$L11="Doing",2,IF(WBS!$L11="Blocked",4,IF(WBS!$L11="Deferred",5,1)))),""))</f>
        <v/>
      </c>
      <c r="Q11" s="58" t="str">
        <f>IF(OR(WBS!$F11="",WBS!$T11=""),"",IF(AND(12&gt;=WBS!$F11,12&lt;=WBS!$T11),IF(WBS!$L11="Done",3,IF(WBS!$L11="Doing",2,IF(WBS!$L11="Blocked",4,IF(WBS!$L11="Deferred",5,1)))),""))</f>
        <v/>
      </c>
      <c r="R11" s="58" t="str">
        <f>IF(OR(WBS!$F11="",WBS!$T11=""),"",IF(AND(13&gt;=WBS!$F11,13&lt;=WBS!$T11),IF(WBS!$L11="Done",3,IF(WBS!$L11="Doing",2,IF(WBS!$L11="Blocked",4,IF(WBS!$L11="Deferred",5,1)))),""))</f>
        <v/>
      </c>
      <c r="S11" s="58" t="str">
        <f>IF(OR(WBS!$F11="",WBS!$T11=""),"",IF(AND(14&gt;=WBS!$F11,14&lt;=WBS!$T11),IF(WBS!$L11="Done",3,IF(WBS!$L11="Doing",2,IF(WBS!$L11="Blocked",4,IF(WBS!$L11="Deferred",5,1)))),""))</f>
        <v/>
      </c>
      <c r="T11" s="58" t="str">
        <f>IF(OR(WBS!$F11="",WBS!$T11=""),"",IF(AND(15&gt;=WBS!$F11,15&lt;=WBS!$T11),IF(WBS!$L11="Done",3,IF(WBS!$L11="Doing",2,IF(WBS!$L11="Blocked",4,IF(WBS!$L11="Deferred",5,1)))),""))</f>
        <v/>
      </c>
      <c r="U11" s="58" t="str">
        <f>IF(OR(WBS!$F11="",WBS!$T11=""),"",IF(AND(16&gt;=WBS!$F11,16&lt;=WBS!$T11),IF(WBS!$L11="Done",3,IF(WBS!$L11="Doing",2,IF(WBS!$L11="Blocked",4,IF(WBS!$L11="Deferred",5,1)))),""))</f>
        <v/>
      </c>
      <c r="V11" s="58" t="str">
        <f>IF(OR(WBS!$F11="",WBS!$T11=""),"",IF(AND(17&gt;=WBS!$F11,17&lt;=WBS!$T11),IF(WBS!$L11="Done",3,IF(WBS!$L11="Doing",2,IF(WBS!$L11="Blocked",4,IF(WBS!$L11="Deferred",5,1)))),""))</f>
        <v/>
      </c>
      <c r="W11" s="58" t="str">
        <f>IF(OR(WBS!$F11="",WBS!$T11=""),"",IF(AND(18&gt;=WBS!$F11,18&lt;=WBS!$T11),IF(WBS!$L11="Done",3,IF(WBS!$L11="Doing",2,IF(WBS!$L11="Blocked",4,IF(WBS!$L11="Deferred",5,1)))),""))</f>
        <v/>
      </c>
      <c r="X11" s="58" t="str">
        <f>IF(OR(WBS!$F11="",WBS!$T11=""),"",IF(AND(19&gt;=WBS!$F11,19&lt;=WBS!$T11),IF(WBS!$L11="Done",3,IF(WBS!$L11="Doing",2,IF(WBS!$L11="Blocked",4,IF(WBS!$L11="Deferred",5,1)))),""))</f>
        <v/>
      </c>
      <c r="Y11" s="58" t="str">
        <f>IF(OR(WBS!$F11="",WBS!$T11=""),"",IF(AND(20&gt;=WBS!$F11,20&lt;=WBS!$T11),IF(WBS!$L11="Done",3,IF(WBS!$L11="Doing",2,IF(WBS!$L11="Blocked",4,IF(WBS!$L11="Deferred",5,1)))),""))</f>
        <v/>
      </c>
      <c r="Z11" s="58" t="str">
        <f>IF(OR(WBS!$F11="",WBS!$T11=""),"",IF(AND(21&gt;=WBS!$F11,21&lt;=WBS!$T11),IF(WBS!$L11="Done",3,IF(WBS!$L11="Doing",2,IF(WBS!$L11="Blocked",4,IF(WBS!$L11="Deferred",5,1)))),""))</f>
        <v/>
      </c>
    </row>
    <row r="12" spans="1:26" x14ac:dyDescent="0.3">
      <c r="A12" s="64" t="str">
        <f>WBS!$A12</f>
        <v>1.2.2</v>
      </c>
      <c r="B12" s="65" t="str">
        <f>WBS!$C12</f>
        <v xml:space="preserve">        Persona interviews 7-12 CS agent, catering ops, security, QA, accessibility, DPO</v>
      </c>
      <c r="C12" s="66" t="str">
        <f>IF(WBS!$E12="","",WBS!$E12)</f>
        <v>REQ</v>
      </c>
      <c r="D12" s="67">
        <f>WBS!$J12</f>
        <v>3</v>
      </c>
      <c r="E12" s="68">
        <f>WBS!$M12</f>
        <v>0</v>
      </c>
      <c r="F12" s="58" t="str">
        <f>IF(OR(WBS!$F12="",WBS!$T12=""),"",IF(AND(1&gt;=WBS!$F12,1&lt;=WBS!$T12),IF(WBS!$L12="Done",3,IF(WBS!$L12="Doing",2,IF(WBS!$L12="Blocked",4,IF(WBS!$L12="Deferred",5,1)))),""))</f>
        <v/>
      </c>
      <c r="G12" s="58">
        <f>IF(OR(WBS!$F12="",WBS!$T12=""),"",IF(AND(2&gt;=WBS!$F12,2&lt;=WBS!$T12),IF(WBS!$L12="Done",3,IF(WBS!$L12="Doing",2,IF(WBS!$L12="Blocked",4,IF(WBS!$L12="Deferred",5,1)))),""))</f>
        <v>1</v>
      </c>
      <c r="H12" s="58" t="str">
        <f>IF(OR(WBS!$F12="",WBS!$T12=""),"",IF(AND(3&gt;=WBS!$F12,3&lt;=WBS!$T12),IF(WBS!$L12="Done",3,IF(WBS!$L12="Doing",2,IF(WBS!$L12="Blocked",4,IF(WBS!$L12="Deferred",5,1)))),""))</f>
        <v/>
      </c>
      <c r="I12" s="58" t="str">
        <f>IF(OR(WBS!$F12="",WBS!$T12=""),"",IF(AND(4&gt;=WBS!$F12,4&lt;=WBS!$T12),IF(WBS!$L12="Done",3,IF(WBS!$L12="Doing",2,IF(WBS!$L12="Blocked",4,IF(WBS!$L12="Deferred",5,1)))),""))</f>
        <v/>
      </c>
      <c r="J12" s="58" t="str">
        <f>IF(OR(WBS!$F12="",WBS!$T12=""),"",IF(AND(5&gt;=WBS!$F12,5&lt;=WBS!$T12),IF(WBS!$L12="Done",3,IF(WBS!$L12="Doing",2,IF(WBS!$L12="Blocked",4,IF(WBS!$L12="Deferred",5,1)))),""))</f>
        <v/>
      </c>
      <c r="K12" s="58" t="str">
        <f>IF(OR(WBS!$F12="",WBS!$T12=""),"",IF(AND(6&gt;=WBS!$F12,6&lt;=WBS!$T12),IF(WBS!$L12="Done",3,IF(WBS!$L12="Doing",2,IF(WBS!$L12="Blocked",4,IF(WBS!$L12="Deferred",5,1)))),""))</f>
        <v/>
      </c>
      <c r="L12" s="58" t="str">
        <f>IF(OR(WBS!$F12="",WBS!$T12=""),"",IF(AND(7&gt;=WBS!$F12,7&lt;=WBS!$T12),IF(WBS!$L12="Done",3,IF(WBS!$L12="Doing",2,IF(WBS!$L12="Blocked",4,IF(WBS!$L12="Deferred",5,1)))),""))</f>
        <v/>
      </c>
      <c r="M12" s="58" t="str">
        <f>IF(OR(WBS!$F12="",WBS!$T12=""),"",IF(AND(8&gt;=WBS!$F12,8&lt;=WBS!$T12),IF(WBS!$L12="Done",3,IF(WBS!$L12="Doing",2,IF(WBS!$L12="Blocked",4,IF(WBS!$L12="Deferred",5,1)))),""))</f>
        <v/>
      </c>
      <c r="N12" s="58" t="str">
        <f>IF(OR(WBS!$F12="",WBS!$T12=""),"",IF(AND(9&gt;=WBS!$F12,9&lt;=WBS!$T12),IF(WBS!$L12="Done",3,IF(WBS!$L12="Doing",2,IF(WBS!$L12="Blocked",4,IF(WBS!$L12="Deferred",5,1)))),""))</f>
        <v/>
      </c>
      <c r="O12" s="58" t="str">
        <f>IF(OR(WBS!$F12="",WBS!$T12=""),"",IF(AND(10&gt;=WBS!$F12,10&lt;=WBS!$T12),IF(WBS!$L12="Done",3,IF(WBS!$L12="Doing",2,IF(WBS!$L12="Blocked",4,IF(WBS!$L12="Deferred",5,1)))),""))</f>
        <v/>
      </c>
      <c r="P12" s="58" t="str">
        <f>IF(OR(WBS!$F12="",WBS!$T12=""),"",IF(AND(11&gt;=WBS!$F12,11&lt;=WBS!$T12),IF(WBS!$L12="Done",3,IF(WBS!$L12="Doing",2,IF(WBS!$L12="Blocked",4,IF(WBS!$L12="Deferred",5,1)))),""))</f>
        <v/>
      </c>
      <c r="Q12" s="58" t="str">
        <f>IF(OR(WBS!$F12="",WBS!$T12=""),"",IF(AND(12&gt;=WBS!$F12,12&lt;=WBS!$T12),IF(WBS!$L12="Done",3,IF(WBS!$L12="Doing",2,IF(WBS!$L12="Blocked",4,IF(WBS!$L12="Deferred",5,1)))),""))</f>
        <v/>
      </c>
      <c r="R12" s="58" t="str">
        <f>IF(OR(WBS!$F12="",WBS!$T12=""),"",IF(AND(13&gt;=WBS!$F12,13&lt;=WBS!$T12),IF(WBS!$L12="Done",3,IF(WBS!$L12="Doing",2,IF(WBS!$L12="Blocked",4,IF(WBS!$L12="Deferred",5,1)))),""))</f>
        <v/>
      </c>
      <c r="S12" s="58" t="str">
        <f>IF(OR(WBS!$F12="",WBS!$T12=""),"",IF(AND(14&gt;=WBS!$F12,14&lt;=WBS!$T12),IF(WBS!$L12="Done",3,IF(WBS!$L12="Doing",2,IF(WBS!$L12="Blocked",4,IF(WBS!$L12="Deferred",5,1)))),""))</f>
        <v/>
      </c>
      <c r="T12" s="58" t="str">
        <f>IF(OR(WBS!$F12="",WBS!$T12=""),"",IF(AND(15&gt;=WBS!$F12,15&lt;=WBS!$T12),IF(WBS!$L12="Done",3,IF(WBS!$L12="Doing",2,IF(WBS!$L12="Blocked",4,IF(WBS!$L12="Deferred",5,1)))),""))</f>
        <v/>
      </c>
      <c r="U12" s="58" t="str">
        <f>IF(OR(WBS!$F12="",WBS!$T12=""),"",IF(AND(16&gt;=WBS!$F12,16&lt;=WBS!$T12),IF(WBS!$L12="Done",3,IF(WBS!$L12="Doing",2,IF(WBS!$L12="Blocked",4,IF(WBS!$L12="Deferred",5,1)))),""))</f>
        <v/>
      </c>
      <c r="V12" s="58" t="str">
        <f>IF(OR(WBS!$F12="",WBS!$T12=""),"",IF(AND(17&gt;=WBS!$F12,17&lt;=WBS!$T12),IF(WBS!$L12="Done",3,IF(WBS!$L12="Doing",2,IF(WBS!$L12="Blocked",4,IF(WBS!$L12="Deferred",5,1)))),""))</f>
        <v/>
      </c>
      <c r="W12" s="58" t="str">
        <f>IF(OR(WBS!$F12="",WBS!$T12=""),"",IF(AND(18&gt;=WBS!$F12,18&lt;=WBS!$T12),IF(WBS!$L12="Done",3,IF(WBS!$L12="Doing",2,IF(WBS!$L12="Blocked",4,IF(WBS!$L12="Deferred",5,1)))),""))</f>
        <v/>
      </c>
      <c r="X12" s="58" t="str">
        <f>IF(OR(WBS!$F12="",WBS!$T12=""),"",IF(AND(19&gt;=WBS!$F12,19&lt;=WBS!$T12),IF(WBS!$L12="Done",3,IF(WBS!$L12="Doing",2,IF(WBS!$L12="Blocked",4,IF(WBS!$L12="Deferred",5,1)))),""))</f>
        <v/>
      </c>
      <c r="Y12" s="58" t="str">
        <f>IF(OR(WBS!$F12="",WBS!$T12=""),"",IF(AND(20&gt;=WBS!$F12,20&lt;=WBS!$T12),IF(WBS!$L12="Done",3,IF(WBS!$L12="Doing",2,IF(WBS!$L12="Blocked",4,IF(WBS!$L12="Deferred",5,1)))),""))</f>
        <v/>
      </c>
      <c r="Z12" s="58" t="str">
        <f>IF(OR(WBS!$F12="",WBS!$T12=""),"",IF(AND(21&gt;=WBS!$F12,21&lt;=WBS!$T12),IF(WBS!$L12="Done",3,IF(WBS!$L12="Doing",2,IF(WBS!$L12="Blocked",4,IF(WBS!$L12="Deferred",5,1)))),""))</f>
        <v/>
      </c>
    </row>
    <row r="13" spans="1:26" x14ac:dyDescent="0.3">
      <c r="A13" s="64" t="str">
        <f>WBS!$A13</f>
        <v>1.2.3</v>
      </c>
      <c r="B13" s="65" t="str">
        <f>WBS!$C13</f>
        <v xml:space="preserve">        Adversarial pass - what would make each persona distrust the system</v>
      </c>
      <c r="C13" s="66" t="str">
        <f>IF(WBS!$E13="","",WBS!$E13)</f>
        <v>REQ</v>
      </c>
      <c r="D13" s="67">
        <f>WBS!$J13</f>
        <v>2</v>
      </c>
      <c r="E13" s="68">
        <f>WBS!$M13</f>
        <v>0</v>
      </c>
      <c r="F13" s="58" t="str">
        <f>IF(OR(WBS!$F13="",WBS!$T13=""),"",IF(AND(1&gt;=WBS!$F13,1&lt;=WBS!$T13),IF(WBS!$L13="Done",3,IF(WBS!$L13="Doing",2,IF(WBS!$L13="Blocked",4,IF(WBS!$L13="Deferred",5,1)))),""))</f>
        <v/>
      </c>
      <c r="G13" s="58">
        <f>IF(OR(WBS!$F13="",WBS!$T13=""),"",IF(AND(2&gt;=WBS!$F13,2&lt;=WBS!$T13),IF(WBS!$L13="Done",3,IF(WBS!$L13="Doing",2,IF(WBS!$L13="Blocked",4,IF(WBS!$L13="Deferred",5,1)))),""))</f>
        <v>1</v>
      </c>
      <c r="H13" s="58" t="str">
        <f>IF(OR(WBS!$F13="",WBS!$T13=""),"",IF(AND(3&gt;=WBS!$F13,3&lt;=WBS!$T13),IF(WBS!$L13="Done",3,IF(WBS!$L13="Doing",2,IF(WBS!$L13="Blocked",4,IF(WBS!$L13="Deferred",5,1)))),""))</f>
        <v/>
      </c>
      <c r="I13" s="58" t="str">
        <f>IF(OR(WBS!$F13="",WBS!$T13=""),"",IF(AND(4&gt;=WBS!$F13,4&lt;=WBS!$T13),IF(WBS!$L13="Done",3,IF(WBS!$L13="Doing",2,IF(WBS!$L13="Blocked",4,IF(WBS!$L13="Deferred",5,1)))),""))</f>
        <v/>
      </c>
      <c r="J13" s="58" t="str">
        <f>IF(OR(WBS!$F13="",WBS!$T13=""),"",IF(AND(5&gt;=WBS!$F13,5&lt;=WBS!$T13),IF(WBS!$L13="Done",3,IF(WBS!$L13="Doing",2,IF(WBS!$L13="Blocked",4,IF(WBS!$L13="Deferred",5,1)))),""))</f>
        <v/>
      </c>
      <c r="K13" s="58" t="str">
        <f>IF(OR(WBS!$F13="",WBS!$T13=""),"",IF(AND(6&gt;=WBS!$F13,6&lt;=WBS!$T13),IF(WBS!$L13="Done",3,IF(WBS!$L13="Doing",2,IF(WBS!$L13="Blocked",4,IF(WBS!$L13="Deferred",5,1)))),""))</f>
        <v/>
      </c>
      <c r="L13" s="58" t="str">
        <f>IF(OR(WBS!$F13="",WBS!$T13=""),"",IF(AND(7&gt;=WBS!$F13,7&lt;=WBS!$T13),IF(WBS!$L13="Done",3,IF(WBS!$L13="Doing",2,IF(WBS!$L13="Blocked",4,IF(WBS!$L13="Deferred",5,1)))),""))</f>
        <v/>
      </c>
      <c r="M13" s="58" t="str">
        <f>IF(OR(WBS!$F13="",WBS!$T13=""),"",IF(AND(8&gt;=WBS!$F13,8&lt;=WBS!$T13),IF(WBS!$L13="Done",3,IF(WBS!$L13="Doing",2,IF(WBS!$L13="Blocked",4,IF(WBS!$L13="Deferred",5,1)))),""))</f>
        <v/>
      </c>
      <c r="N13" s="58" t="str">
        <f>IF(OR(WBS!$F13="",WBS!$T13=""),"",IF(AND(9&gt;=WBS!$F13,9&lt;=WBS!$T13),IF(WBS!$L13="Done",3,IF(WBS!$L13="Doing",2,IF(WBS!$L13="Blocked",4,IF(WBS!$L13="Deferred",5,1)))),""))</f>
        <v/>
      </c>
      <c r="O13" s="58" t="str">
        <f>IF(OR(WBS!$F13="",WBS!$T13=""),"",IF(AND(10&gt;=WBS!$F13,10&lt;=WBS!$T13),IF(WBS!$L13="Done",3,IF(WBS!$L13="Doing",2,IF(WBS!$L13="Blocked",4,IF(WBS!$L13="Deferred",5,1)))),""))</f>
        <v/>
      </c>
      <c r="P13" s="58" t="str">
        <f>IF(OR(WBS!$F13="",WBS!$T13=""),"",IF(AND(11&gt;=WBS!$F13,11&lt;=WBS!$T13),IF(WBS!$L13="Done",3,IF(WBS!$L13="Doing",2,IF(WBS!$L13="Blocked",4,IF(WBS!$L13="Deferred",5,1)))),""))</f>
        <v/>
      </c>
      <c r="Q13" s="58" t="str">
        <f>IF(OR(WBS!$F13="",WBS!$T13=""),"",IF(AND(12&gt;=WBS!$F13,12&lt;=WBS!$T13),IF(WBS!$L13="Done",3,IF(WBS!$L13="Doing",2,IF(WBS!$L13="Blocked",4,IF(WBS!$L13="Deferred",5,1)))),""))</f>
        <v/>
      </c>
      <c r="R13" s="58" t="str">
        <f>IF(OR(WBS!$F13="",WBS!$T13=""),"",IF(AND(13&gt;=WBS!$F13,13&lt;=WBS!$T13),IF(WBS!$L13="Done",3,IF(WBS!$L13="Doing",2,IF(WBS!$L13="Blocked",4,IF(WBS!$L13="Deferred",5,1)))),""))</f>
        <v/>
      </c>
      <c r="S13" s="58" t="str">
        <f>IF(OR(WBS!$F13="",WBS!$T13=""),"",IF(AND(14&gt;=WBS!$F13,14&lt;=WBS!$T13),IF(WBS!$L13="Done",3,IF(WBS!$L13="Doing",2,IF(WBS!$L13="Blocked",4,IF(WBS!$L13="Deferred",5,1)))),""))</f>
        <v/>
      </c>
      <c r="T13" s="58" t="str">
        <f>IF(OR(WBS!$F13="",WBS!$T13=""),"",IF(AND(15&gt;=WBS!$F13,15&lt;=WBS!$T13),IF(WBS!$L13="Done",3,IF(WBS!$L13="Doing",2,IF(WBS!$L13="Blocked",4,IF(WBS!$L13="Deferred",5,1)))),""))</f>
        <v/>
      </c>
      <c r="U13" s="58" t="str">
        <f>IF(OR(WBS!$F13="",WBS!$T13=""),"",IF(AND(16&gt;=WBS!$F13,16&lt;=WBS!$T13),IF(WBS!$L13="Done",3,IF(WBS!$L13="Doing",2,IF(WBS!$L13="Blocked",4,IF(WBS!$L13="Deferred",5,1)))),""))</f>
        <v/>
      </c>
      <c r="V13" s="58" t="str">
        <f>IF(OR(WBS!$F13="",WBS!$T13=""),"",IF(AND(17&gt;=WBS!$F13,17&lt;=WBS!$T13),IF(WBS!$L13="Done",3,IF(WBS!$L13="Doing",2,IF(WBS!$L13="Blocked",4,IF(WBS!$L13="Deferred",5,1)))),""))</f>
        <v/>
      </c>
      <c r="W13" s="58" t="str">
        <f>IF(OR(WBS!$F13="",WBS!$T13=""),"",IF(AND(18&gt;=WBS!$F13,18&lt;=WBS!$T13),IF(WBS!$L13="Done",3,IF(WBS!$L13="Doing",2,IF(WBS!$L13="Blocked",4,IF(WBS!$L13="Deferred",5,1)))),""))</f>
        <v/>
      </c>
      <c r="X13" s="58" t="str">
        <f>IF(OR(WBS!$F13="",WBS!$T13=""),"",IF(AND(19&gt;=WBS!$F13,19&lt;=WBS!$T13),IF(WBS!$L13="Done",3,IF(WBS!$L13="Doing",2,IF(WBS!$L13="Blocked",4,IF(WBS!$L13="Deferred",5,1)))),""))</f>
        <v/>
      </c>
      <c r="Y13" s="58" t="str">
        <f>IF(OR(WBS!$F13="",WBS!$T13=""),"",IF(AND(20&gt;=WBS!$F13,20&lt;=WBS!$T13),IF(WBS!$L13="Done",3,IF(WBS!$L13="Doing",2,IF(WBS!$L13="Blocked",4,IF(WBS!$L13="Deferred",5,1)))),""))</f>
        <v/>
      </c>
      <c r="Z13" s="58" t="str">
        <f>IF(OR(WBS!$F13="",WBS!$T13=""),"",IF(AND(21&gt;=WBS!$F13,21&lt;=WBS!$T13),IF(WBS!$L13="Done",3,IF(WBS!$L13="Doing",2,IF(WBS!$L13="Blocked",4,IF(WBS!$L13="Deferred",5,1)))),""))</f>
        <v/>
      </c>
    </row>
    <row r="14" spans="1:26" x14ac:dyDescent="0.3">
      <c r="A14" s="64" t="str">
        <f>WBS!$A14</f>
        <v>1.2.4</v>
      </c>
      <c r="B14" s="65" t="str">
        <f>WBS!$C14</f>
        <v xml:space="preserve">        Reconcile conflicts and record the losing option in writing</v>
      </c>
      <c r="C14" s="66" t="str">
        <f>IF(WBS!$E14="","",WBS!$E14)</f>
        <v>REQ</v>
      </c>
      <c r="D14" s="67">
        <f>WBS!$J14</f>
        <v>2</v>
      </c>
      <c r="E14" s="68">
        <f>WBS!$M14</f>
        <v>0</v>
      </c>
      <c r="F14" s="58" t="str">
        <f>IF(OR(WBS!$F14="",WBS!$T14=""),"",IF(AND(1&gt;=WBS!$F14,1&lt;=WBS!$T14),IF(WBS!$L14="Done",3,IF(WBS!$L14="Doing",2,IF(WBS!$L14="Blocked",4,IF(WBS!$L14="Deferred",5,1)))),""))</f>
        <v/>
      </c>
      <c r="G14" s="58" t="str">
        <f>IF(OR(WBS!$F14="",WBS!$T14=""),"",IF(AND(2&gt;=WBS!$F14,2&lt;=WBS!$T14),IF(WBS!$L14="Done",3,IF(WBS!$L14="Doing",2,IF(WBS!$L14="Blocked",4,IF(WBS!$L14="Deferred",5,1)))),""))</f>
        <v/>
      </c>
      <c r="H14" s="58">
        <f>IF(OR(WBS!$F14="",WBS!$T14=""),"",IF(AND(3&gt;=WBS!$F14,3&lt;=WBS!$T14),IF(WBS!$L14="Done",3,IF(WBS!$L14="Doing",2,IF(WBS!$L14="Blocked",4,IF(WBS!$L14="Deferred",5,1)))),""))</f>
        <v>1</v>
      </c>
      <c r="I14" s="58" t="str">
        <f>IF(OR(WBS!$F14="",WBS!$T14=""),"",IF(AND(4&gt;=WBS!$F14,4&lt;=WBS!$T14),IF(WBS!$L14="Done",3,IF(WBS!$L14="Doing",2,IF(WBS!$L14="Blocked",4,IF(WBS!$L14="Deferred",5,1)))),""))</f>
        <v/>
      </c>
      <c r="J14" s="58" t="str">
        <f>IF(OR(WBS!$F14="",WBS!$T14=""),"",IF(AND(5&gt;=WBS!$F14,5&lt;=WBS!$T14),IF(WBS!$L14="Done",3,IF(WBS!$L14="Doing",2,IF(WBS!$L14="Blocked",4,IF(WBS!$L14="Deferred",5,1)))),""))</f>
        <v/>
      </c>
      <c r="K14" s="58" t="str">
        <f>IF(OR(WBS!$F14="",WBS!$T14=""),"",IF(AND(6&gt;=WBS!$F14,6&lt;=WBS!$T14),IF(WBS!$L14="Done",3,IF(WBS!$L14="Doing",2,IF(WBS!$L14="Blocked",4,IF(WBS!$L14="Deferred",5,1)))),""))</f>
        <v/>
      </c>
      <c r="L14" s="58" t="str">
        <f>IF(OR(WBS!$F14="",WBS!$T14=""),"",IF(AND(7&gt;=WBS!$F14,7&lt;=WBS!$T14),IF(WBS!$L14="Done",3,IF(WBS!$L14="Doing",2,IF(WBS!$L14="Blocked",4,IF(WBS!$L14="Deferred",5,1)))),""))</f>
        <v/>
      </c>
      <c r="M14" s="58" t="str">
        <f>IF(OR(WBS!$F14="",WBS!$T14=""),"",IF(AND(8&gt;=WBS!$F14,8&lt;=WBS!$T14),IF(WBS!$L14="Done",3,IF(WBS!$L14="Doing",2,IF(WBS!$L14="Blocked",4,IF(WBS!$L14="Deferred",5,1)))),""))</f>
        <v/>
      </c>
      <c r="N14" s="58" t="str">
        <f>IF(OR(WBS!$F14="",WBS!$T14=""),"",IF(AND(9&gt;=WBS!$F14,9&lt;=WBS!$T14),IF(WBS!$L14="Done",3,IF(WBS!$L14="Doing",2,IF(WBS!$L14="Blocked",4,IF(WBS!$L14="Deferred",5,1)))),""))</f>
        <v/>
      </c>
      <c r="O14" s="58" t="str">
        <f>IF(OR(WBS!$F14="",WBS!$T14=""),"",IF(AND(10&gt;=WBS!$F14,10&lt;=WBS!$T14),IF(WBS!$L14="Done",3,IF(WBS!$L14="Doing",2,IF(WBS!$L14="Blocked",4,IF(WBS!$L14="Deferred",5,1)))),""))</f>
        <v/>
      </c>
      <c r="P14" s="58" t="str">
        <f>IF(OR(WBS!$F14="",WBS!$T14=""),"",IF(AND(11&gt;=WBS!$F14,11&lt;=WBS!$T14),IF(WBS!$L14="Done",3,IF(WBS!$L14="Doing",2,IF(WBS!$L14="Blocked",4,IF(WBS!$L14="Deferred",5,1)))),""))</f>
        <v/>
      </c>
      <c r="Q14" s="58" t="str">
        <f>IF(OR(WBS!$F14="",WBS!$T14=""),"",IF(AND(12&gt;=WBS!$F14,12&lt;=WBS!$T14),IF(WBS!$L14="Done",3,IF(WBS!$L14="Doing",2,IF(WBS!$L14="Blocked",4,IF(WBS!$L14="Deferred",5,1)))),""))</f>
        <v/>
      </c>
      <c r="R14" s="58" t="str">
        <f>IF(OR(WBS!$F14="",WBS!$T14=""),"",IF(AND(13&gt;=WBS!$F14,13&lt;=WBS!$T14),IF(WBS!$L14="Done",3,IF(WBS!$L14="Doing",2,IF(WBS!$L14="Blocked",4,IF(WBS!$L14="Deferred",5,1)))),""))</f>
        <v/>
      </c>
      <c r="S14" s="58" t="str">
        <f>IF(OR(WBS!$F14="",WBS!$T14=""),"",IF(AND(14&gt;=WBS!$F14,14&lt;=WBS!$T14),IF(WBS!$L14="Done",3,IF(WBS!$L14="Doing",2,IF(WBS!$L14="Blocked",4,IF(WBS!$L14="Deferred",5,1)))),""))</f>
        <v/>
      </c>
      <c r="T14" s="58" t="str">
        <f>IF(OR(WBS!$F14="",WBS!$T14=""),"",IF(AND(15&gt;=WBS!$F14,15&lt;=WBS!$T14),IF(WBS!$L14="Done",3,IF(WBS!$L14="Doing",2,IF(WBS!$L14="Blocked",4,IF(WBS!$L14="Deferred",5,1)))),""))</f>
        <v/>
      </c>
      <c r="U14" s="58" t="str">
        <f>IF(OR(WBS!$F14="",WBS!$T14=""),"",IF(AND(16&gt;=WBS!$F14,16&lt;=WBS!$T14),IF(WBS!$L14="Done",3,IF(WBS!$L14="Doing",2,IF(WBS!$L14="Blocked",4,IF(WBS!$L14="Deferred",5,1)))),""))</f>
        <v/>
      </c>
      <c r="V14" s="58" t="str">
        <f>IF(OR(WBS!$F14="",WBS!$T14=""),"",IF(AND(17&gt;=WBS!$F14,17&lt;=WBS!$T14),IF(WBS!$L14="Done",3,IF(WBS!$L14="Doing",2,IF(WBS!$L14="Blocked",4,IF(WBS!$L14="Deferred",5,1)))),""))</f>
        <v/>
      </c>
      <c r="W14" s="58" t="str">
        <f>IF(OR(WBS!$F14="",WBS!$T14=""),"",IF(AND(18&gt;=WBS!$F14,18&lt;=WBS!$T14),IF(WBS!$L14="Done",3,IF(WBS!$L14="Doing",2,IF(WBS!$L14="Blocked",4,IF(WBS!$L14="Deferred",5,1)))),""))</f>
        <v/>
      </c>
      <c r="X14" s="58" t="str">
        <f>IF(OR(WBS!$F14="",WBS!$T14=""),"",IF(AND(19&gt;=WBS!$F14,19&lt;=WBS!$T14),IF(WBS!$L14="Done",3,IF(WBS!$L14="Doing",2,IF(WBS!$L14="Blocked",4,IF(WBS!$L14="Deferred",5,1)))),""))</f>
        <v/>
      </c>
      <c r="Y14" s="58" t="str">
        <f>IF(OR(WBS!$F14="",WBS!$T14=""),"",IF(AND(20&gt;=WBS!$F14,20&lt;=WBS!$T14),IF(WBS!$L14="Done",3,IF(WBS!$L14="Doing",2,IF(WBS!$L14="Blocked",4,IF(WBS!$L14="Deferred",5,1)))),""))</f>
        <v/>
      </c>
      <c r="Z14" s="58" t="str">
        <f>IF(OR(WBS!$F14="",WBS!$T14=""),"",IF(AND(21&gt;=WBS!$F14,21&lt;=WBS!$T14),IF(WBS!$L14="Done",3,IF(WBS!$L14="Doing",2,IF(WBS!$L14="Blocked",4,IF(WBS!$L14="Deferred",5,1)))),""))</f>
        <v/>
      </c>
    </row>
    <row r="15" spans="1:26" x14ac:dyDescent="0.3">
      <c r="A15" s="59" t="str">
        <f>WBS!$A15</f>
        <v>1.3</v>
      </c>
      <c r="B15" s="60" t="str">
        <f>WBS!$C15</f>
        <v xml:space="preserve">    Requirement engineering</v>
      </c>
      <c r="C15" s="61" t="str">
        <f>IF(WBS!$E15="","",WBS!$E15)</f>
        <v/>
      </c>
      <c r="D15" s="62">
        <f>WBS!$J15</f>
        <v>7.5</v>
      </c>
      <c r="E15" s="63">
        <f>WBS!$M15</f>
        <v>0</v>
      </c>
      <c r="F15" s="58" t="str">
        <f>IF(OR(WBS!$F15="",WBS!$T15=""),"",IF(AND(1&gt;=WBS!$F15,1&lt;=WBS!$T15),IF(WBS!$L15="Done",3,IF(WBS!$L15="Doing",2,IF(WBS!$L15="Blocked",4,IF(WBS!$L15="Deferred",5,1)))),""))</f>
        <v/>
      </c>
      <c r="G15" s="58">
        <f>IF(OR(WBS!$F15="",WBS!$T15=""),"",IF(AND(2&gt;=WBS!$F15,2&lt;=WBS!$T15),IF(WBS!$L15="Done",3,IF(WBS!$L15="Doing",2,IF(WBS!$L15="Blocked",4,IF(WBS!$L15="Deferred",5,1)))),""))</f>
        <v>1</v>
      </c>
      <c r="H15" s="58">
        <f>IF(OR(WBS!$F15="",WBS!$T15=""),"",IF(AND(3&gt;=WBS!$F15,3&lt;=WBS!$T15),IF(WBS!$L15="Done",3,IF(WBS!$L15="Doing",2,IF(WBS!$L15="Blocked",4,IF(WBS!$L15="Deferred",5,1)))),""))</f>
        <v>1</v>
      </c>
      <c r="I15" s="58" t="str">
        <f>IF(OR(WBS!$F15="",WBS!$T15=""),"",IF(AND(4&gt;=WBS!$F15,4&lt;=WBS!$T15),IF(WBS!$L15="Done",3,IF(WBS!$L15="Doing",2,IF(WBS!$L15="Blocked",4,IF(WBS!$L15="Deferred",5,1)))),""))</f>
        <v/>
      </c>
      <c r="J15" s="58" t="str">
        <f>IF(OR(WBS!$F15="",WBS!$T15=""),"",IF(AND(5&gt;=WBS!$F15,5&lt;=WBS!$T15),IF(WBS!$L15="Done",3,IF(WBS!$L15="Doing",2,IF(WBS!$L15="Blocked",4,IF(WBS!$L15="Deferred",5,1)))),""))</f>
        <v/>
      </c>
      <c r="K15" s="58" t="str">
        <f>IF(OR(WBS!$F15="",WBS!$T15=""),"",IF(AND(6&gt;=WBS!$F15,6&lt;=WBS!$T15),IF(WBS!$L15="Done",3,IF(WBS!$L15="Doing",2,IF(WBS!$L15="Blocked",4,IF(WBS!$L15="Deferred",5,1)))),""))</f>
        <v/>
      </c>
      <c r="L15" s="58" t="str">
        <f>IF(OR(WBS!$F15="",WBS!$T15=""),"",IF(AND(7&gt;=WBS!$F15,7&lt;=WBS!$T15),IF(WBS!$L15="Done",3,IF(WBS!$L15="Doing",2,IF(WBS!$L15="Blocked",4,IF(WBS!$L15="Deferred",5,1)))),""))</f>
        <v/>
      </c>
      <c r="M15" s="58" t="str">
        <f>IF(OR(WBS!$F15="",WBS!$T15=""),"",IF(AND(8&gt;=WBS!$F15,8&lt;=WBS!$T15),IF(WBS!$L15="Done",3,IF(WBS!$L15="Doing",2,IF(WBS!$L15="Blocked",4,IF(WBS!$L15="Deferred",5,1)))),""))</f>
        <v/>
      </c>
      <c r="N15" s="58" t="str">
        <f>IF(OR(WBS!$F15="",WBS!$T15=""),"",IF(AND(9&gt;=WBS!$F15,9&lt;=WBS!$T15),IF(WBS!$L15="Done",3,IF(WBS!$L15="Doing",2,IF(WBS!$L15="Blocked",4,IF(WBS!$L15="Deferred",5,1)))),""))</f>
        <v/>
      </c>
      <c r="O15" s="58" t="str">
        <f>IF(OR(WBS!$F15="",WBS!$T15=""),"",IF(AND(10&gt;=WBS!$F15,10&lt;=WBS!$T15),IF(WBS!$L15="Done",3,IF(WBS!$L15="Doing",2,IF(WBS!$L15="Blocked",4,IF(WBS!$L15="Deferred",5,1)))),""))</f>
        <v/>
      </c>
      <c r="P15" s="58" t="str">
        <f>IF(OR(WBS!$F15="",WBS!$T15=""),"",IF(AND(11&gt;=WBS!$F15,11&lt;=WBS!$T15),IF(WBS!$L15="Done",3,IF(WBS!$L15="Doing",2,IF(WBS!$L15="Blocked",4,IF(WBS!$L15="Deferred",5,1)))),""))</f>
        <v/>
      </c>
      <c r="Q15" s="58" t="str">
        <f>IF(OR(WBS!$F15="",WBS!$T15=""),"",IF(AND(12&gt;=WBS!$F15,12&lt;=WBS!$T15),IF(WBS!$L15="Done",3,IF(WBS!$L15="Doing",2,IF(WBS!$L15="Blocked",4,IF(WBS!$L15="Deferred",5,1)))),""))</f>
        <v/>
      </c>
      <c r="R15" s="58" t="str">
        <f>IF(OR(WBS!$F15="",WBS!$T15=""),"",IF(AND(13&gt;=WBS!$F15,13&lt;=WBS!$T15),IF(WBS!$L15="Done",3,IF(WBS!$L15="Doing",2,IF(WBS!$L15="Blocked",4,IF(WBS!$L15="Deferred",5,1)))),""))</f>
        <v/>
      </c>
      <c r="S15" s="58" t="str">
        <f>IF(OR(WBS!$F15="",WBS!$T15=""),"",IF(AND(14&gt;=WBS!$F15,14&lt;=WBS!$T15),IF(WBS!$L15="Done",3,IF(WBS!$L15="Doing",2,IF(WBS!$L15="Blocked",4,IF(WBS!$L15="Deferred",5,1)))),""))</f>
        <v/>
      </c>
      <c r="T15" s="58" t="str">
        <f>IF(OR(WBS!$F15="",WBS!$T15=""),"",IF(AND(15&gt;=WBS!$F15,15&lt;=WBS!$T15),IF(WBS!$L15="Done",3,IF(WBS!$L15="Doing",2,IF(WBS!$L15="Blocked",4,IF(WBS!$L15="Deferred",5,1)))),""))</f>
        <v/>
      </c>
      <c r="U15" s="58" t="str">
        <f>IF(OR(WBS!$F15="",WBS!$T15=""),"",IF(AND(16&gt;=WBS!$F15,16&lt;=WBS!$T15),IF(WBS!$L15="Done",3,IF(WBS!$L15="Doing",2,IF(WBS!$L15="Blocked",4,IF(WBS!$L15="Deferred",5,1)))),""))</f>
        <v/>
      </c>
      <c r="V15" s="58" t="str">
        <f>IF(OR(WBS!$F15="",WBS!$T15=""),"",IF(AND(17&gt;=WBS!$F15,17&lt;=WBS!$T15),IF(WBS!$L15="Done",3,IF(WBS!$L15="Doing",2,IF(WBS!$L15="Blocked",4,IF(WBS!$L15="Deferred",5,1)))),""))</f>
        <v/>
      </c>
      <c r="W15" s="58" t="str">
        <f>IF(OR(WBS!$F15="",WBS!$T15=""),"",IF(AND(18&gt;=WBS!$F15,18&lt;=WBS!$T15),IF(WBS!$L15="Done",3,IF(WBS!$L15="Doing",2,IF(WBS!$L15="Blocked",4,IF(WBS!$L15="Deferred",5,1)))),""))</f>
        <v/>
      </c>
      <c r="X15" s="58" t="str">
        <f>IF(OR(WBS!$F15="",WBS!$T15=""),"",IF(AND(19&gt;=WBS!$F15,19&lt;=WBS!$T15),IF(WBS!$L15="Done",3,IF(WBS!$L15="Doing",2,IF(WBS!$L15="Blocked",4,IF(WBS!$L15="Deferred",5,1)))),""))</f>
        <v/>
      </c>
      <c r="Y15" s="58" t="str">
        <f>IF(OR(WBS!$F15="",WBS!$T15=""),"",IF(AND(20&gt;=WBS!$F15,20&lt;=WBS!$T15),IF(WBS!$L15="Done",3,IF(WBS!$L15="Doing",2,IF(WBS!$L15="Blocked",4,IF(WBS!$L15="Deferred",5,1)))),""))</f>
        <v/>
      </c>
      <c r="Z15" s="58" t="str">
        <f>IF(OR(WBS!$F15="",WBS!$T15=""),"",IF(AND(21&gt;=WBS!$F15,21&lt;=WBS!$T15),IF(WBS!$L15="Done",3,IF(WBS!$L15="Doing",2,IF(WBS!$L15="Blocked",4,IF(WBS!$L15="Deferred",5,1)))),""))</f>
        <v/>
      </c>
    </row>
    <row r="16" spans="1:26" x14ac:dyDescent="0.3">
      <c r="A16" s="64" t="str">
        <f>WBS!$A16</f>
        <v>1.3.1</v>
      </c>
      <c r="B16" s="65" t="str">
        <f>WBS!$C16</f>
        <v xml:space="preserve">        Edge case catalogue target 40 plus entries</v>
      </c>
      <c r="C16" s="66" t="str">
        <f>IF(WBS!$E16="","",WBS!$E16)</f>
        <v>REQ</v>
      </c>
      <c r="D16" s="67">
        <f>WBS!$J16</f>
        <v>2</v>
      </c>
      <c r="E16" s="68">
        <f>WBS!$M16</f>
        <v>0</v>
      </c>
      <c r="F16" s="58" t="str">
        <f>IF(OR(WBS!$F16="",WBS!$T16=""),"",IF(AND(1&gt;=WBS!$F16,1&lt;=WBS!$T16),IF(WBS!$L16="Done",3,IF(WBS!$L16="Doing",2,IF(WBS!$L16="Blocked",4,IF(WBS!$L16="Deferred",5,1)))),""))</f>
        <v/>
      </c>
      <c r="G16" s="58">
        <f>IF(OR(WBS!$F16="",WBS!$T16=""),"",IF(AND(2&gt;=WBS!$F16,2&lt;=WBS!$T16),IF(WBS!$L16="Done",3,IF(WBS!$L16="Doing",2,IF(WBS!$L16="Blocked",4,IF(WBS!$L16="Deferred",5,1)))),""))</f>
        <v>1</v>
      </c>
      <c r="H16" s="58" t="str">
        <f>IF(OR(WBS!$F16="",WBS!$T16=""),"",IF(AND(3&gt;=WBS!$F16,3&lt;=WBS!$T16),IF(WBS!$L16="Done",3,IF(WBS!$L16="Doing",2,IF(WBS!$L16="Blocked",4,IF(WBS!$L16="Deferred",5,1)))),""))</f>
        <v/>
      </c>
      <c r="I16" s="58" t="str">
        <f>IF(OR(WBS!$F16="",WBS!$T16=""),"",IF(AND(4&gt;=WBS!$F16,4&lt;=WBS!$T16),IF(WBS!$L16="Done",3,IF(WBS!$L16="Doing",2,IF(WBS!$L16="Blocked",4,IF(WBS!$L16="Deferred",5,1)))),""))</f>
        <v/>
      </c>
      <c r="J16" s="58" t="str">
        <f>IF(OR(WBS!$F16="",WBS!$T16=""),"",IF(AND(5&gt;=WBS!$F16,5&lt;=WBS!$T16),IF(WBS!$L16="Done",3,IF(WBS!$L16="Doing",2,IF(WBS!$L16="Blocked",4,IF(WBS!$L16="Deferred",5,1)))),""))</f>
        <v/>
      </c>
      <c r="K16" s="58" t="str">
        <f>IF(OR(WBS!$F16="",WBS!$T16=""),"",IF(AND(6&gt;=WBS!$F16,6&lt;=WBS!$T16),IF(WBS!$L16="Done",3,IF(WBS!$L16="Doing",2,IF(WBS!$L16="Blocked",4,IF(WBS!$L16="Deferred",5,1)))),""))</f>
        <v/>
      </c>
      <c r="L16" s="58" t="str">
        <f>IF(OR(WBS!$F16="",WBS!$T16=""),"",IF(AND(7&gt;=WBS!$F16,7&lt;=WBS!$T16),IF(WBS!$L16="Done",3,IF(WBS!$L16="Doing",2,IF(WBS!$L16="Blocked",4,IF(WBS!$L16="Deferred",5,1)))),""))</f>
        <v/>
      </c>
      <c r="M16" s="58" t="str">
        <f>IF(OR(WBS!$F16="",WBS!$T16=""),"",IF(AND(8&gt;=WBS!$F16,8&lt;=WBS!$T16),IF(WBS!$L16="Done",3,IF(WBS!$L16="Doing",2,IF(WBS!$L16="Blocked",4,IF(WBS!$L16="Deferred",5,1)))),""))</f>
        <v/>
      </c>
      <c r="N16" s="58" t="str">
        <f>IF(OR(WBS!$F16="",WBS!$T16=""),"",IF(AND(9&gt;=WBS!$F16,9&lt;=WBS!$T16),IF(WBS!$L16="Done",3,IF(WBS!$L16="Doing",2,IF(WBS!$L16="Blocked",4,IF(WBS!$L16="Deferred",5,1)))),""))</f>
        <v/>
      </c>
      <c r="O16" s="58" t="str">
        <f>IF(OR(WBS!$F16="",WBS!$T16=""),"",IF(AND(10&gt;=WBS!$F16,10&lt;=WBS!$T16),IF(WBS!$L16="Done",3,IF(WBS!$L16="Doing",2,IF(WBS!$L16="Blocked",4,IF(WBS!$L16="Deferred",5,1)))),""))</f>
        <v/>
      </c>
      <c r="P16" s="58" t="str">
        <f>IF(OR(WBS!$F16="",WBS!$T16=""),"",IF(AND(11&gt;=WBS!$F16,11&lt;=WBS!$T16),IF(WBS!$L16="Done",3,IF(WBS!$L16="Doing",2,IF(WBS!$L16="Blocked",4,IF(WBS!$L16="Deferred",5,1)))),""))</f>
        <v/>
      </c>
      <c r="Q16" s="58" t="str">
        <f>IF(OR(WBS!$F16="",WBS!$T16=""),"",IF(AND(12&gt;=WBS!$F16,12&lt;=WBS!$T16),IF(WBS!$L16="Done",3,IF(WBS!$L16="Doing",2,IF(WBS!$L16="Blocked",4,IF(WBS!$L16="Deferred",5,1)))),""))</f>
        <v/>
      </c>
      <c r="R16" s="58" t="str">
        <f>IF(OR(WBS!$F16="",WBS!$T16=""),"",IF(AND(13&gt;=WBS!$F16,13&lt;=WBS!$T16),IF(WBS!$L16="Done",3,IF(WBS!$L16="Doing",2,IF(WBS!$L16="Blocked",4,IF(WBS!$L16="Deferred",5,1)))),""))</f>
        <v/>
      </c>
      <c r="S16" s="58" t="str">
        <f>IF(OR(WBS!$F16="",WBS!$T16=""),"",IF(AND(14&gt;=WBS!$F16,14&lt;=WBS!$T16),IF(WBS!$L16="Done",3,IF(WBS!$L16="Doing",2,IF(WBS!$L16="Blocked",4,IF(WBS!$L16="Deferred",5,1)))),""))</f>
        <v/>
      </c>
      <c r="T16" s="58" t="str">
        <f>IF(OR(WBS!$F16="",WBS!$T16=""),"",IF(AND(15&gt;=WBS!$F16,15&lt;=WBS!$T16),IF(WBS!$L16="Done",3,IF(WBS!$L16="Doing",2,IF(WBS!$L16="Blocked",4,IF(WBS!$L16="Deferred",5,1)))),""))</f>
        <v/>
      </c>
      <c r="U16" s="58" t="str">
        <f>IF(OR(WBS!$F16="",WBS!$T16=""),"",IF(AND(16&gt;=WBS!$F16,16&lt;=WBS!$T16),IF(WBS!$L16="Done",3,IF(WBS!$L16="Doing",2,IF(WBS!$L16="Blocked",4,IF(WBS!$L16="Deferred",5,1)))),""))</f>
        <v/>
      </c>
      <c r="V16" s="58" t="str">
        <f>IF(OR(WBS!$F16="",WBS!$T16=""),"",IF(AND(17&gt;=WBS!$F16,17&lt;=WBS!$T16),IF(WBS!$L16="Done",3,IF(WBS!$L16="Doing",2,IF(WBS!$L16="Blocked",4,IF(WBS!$L16="Deferred",5,1)))),""))</f>
        <v/>
      </c>
      <c r="W16" s="58" t="str">
        <f>IF(OR(WBS!$F16="",WBS!$T16=""),"",IF(AND(18&gt;=WBS!$F16,18&lt;=WBS!$T16),IF(WBS!$L16="Done",3,IF(WBS!$L16="Doing",2,IF(WBS!$L16="Blocked",4,IF(WBS!$L16="Deferred",5,1)))),""))</f>
        <v/>
      </c>
      <c r="X16" s="58" t="str">
        <f>IF(OR(WBS!$F16="",WBS!$T16=""),"",IF(AND(19&gt;=WBS!$F16,19&lt;=WBS!$T16),IF(WBS!$L16="Done",3,IF(WBS!$L16="Doing",2,IF(WBS!$L16="Blocked",4,IF(WBS!$L16="Deferred",5,1)))),""))</f>
        <v/>
      </c>
      <c r="Y16" s="58" t="str">
        <f>IF(OR(WBS!$F16="",WBS!$T16=""),"",IF(AND(20&gt;=WBS!$F16,20&lt;=WBS!$T16),IF(WBS!$L16="Done",3,IF(WBS!$L16="Doing",2,IF(WBS!$L16="Blocked",4,IF(WBS!$L16="Deferred",5,1)))),""))</f>
        <v/>
      </c>
      <c r="Z16" s="58" t="str">
        <f>IF(OR(WBS!$F16="",WBS!$T16=""),"",IF(AND(21&gt;=WBS!$F16,21&lt;=WBS!$T16),IF(WBS!$L16="Done",3,IF(WBS!$L16="Doing",2,IF(WBS!$L16="Blocked",4,IF(WBS!$L16="Deferred",5,1)))),""))</f>
        <v/>
      </c>
    </row>
    <row r="17" spans="1:26" x14ac:dyDescent="0.3">
      <c r="A17" s="64" t="str">
        <f>WBS!$A17</f>
        <v>1.3.2</v>
      </c>
      <c r="B17" s="65" t="str">
        <f>WBS!$C17</f>
        <v xml:space="preserve">        Prioritise MoSCoW plus risk times value score</v>
      </c>
      <c r="C17" s="66" t="str">
        <f>IF(WBS!$E17="","",WBS!$E17)</f>
        <v>REQ</v>
      </c>
      <c r="D17" s="67">
        <f>WBS!$J17</f>
        <v>1.5</v>
      </c>
      <c r="E17" s="68">
        <f>WBS!$M17</f>
        <v>0</v>
      </c>
      <c r="F17" s="58" t="str">
        <f>IF(OR(WBS!$F17="",WBS!$T17=""),"",IF(AND(1&gt;=WBS!$F17,1&lt;=WBS!$T17),IF(WBS!$L17="Done",3,IF(WBS!$L17="Doing",2,IF(WBS!$L17="Blocked",4,IF(WBS!$L17="Deferred",5,1)))),""))</f>
        <v/>
      </c>
      <c r="G17" s="58" t="str">
        <f>IF(OR(WBS!$F17="",WBS!$T17=""),"",IF(AND(2&gt;=WBS!$F17,2&lt;=WBS!$T17),IF(WBS!$L17="Done",3,IF(WBS!$L17="Doing",2,IF(WBS!$L17="Blocked",4,IF(WBS!$L17="Deferred",5,1)))),""))</f>
        <v/>
      </c>
      <c r="H17" s="58">
        <f>IF(OR(WBS!$F17="",WBS!$T17=""),"",IF(AND(3&gt;=WBS!$F17,3&lt;=WBS!$T17),IF(WBS!$L17="Done",3,IF(WBS!$L17="Doing",2,IF(WBS!$L17="Blocked",4,IF(WBS!$L17="Deferred",5,1)))),""))</f>
        <v>1</v>
      </c>
      <c r="I17" s="58" t="str">
        <f>IF(OR(WBS!$F17="",WBS!$T17=""),"",IF(AND(4&gt;=WBS!$F17,4&lt;=WBS!$T17),IF(WBS!$L17="Done",3,IF(WBS!$L17="Doing",2,IF(WBS!$L17="Blocked",4,IF(WBS!$L17="Deferred",5,1)))),""))</f>
        <v/>
      </c>
      <c r="J17" s="58" t="str">
        <f>IF(OR(WBS!$F17="",WBS!$T17=""),"",IF(AND(5&gt;=WBS!$F17,5&lt;=WBS!$T17),IF(WBS!$L17="Done",3,IF(WBS!$L17="Doing",2,IF(WBS!$L17="Blocked",4,IF(WBS!$L17="Deferred",5,1)))),""))</f>
        <v/>
      </c>
      <c r="K17" s="58" t="str">
        <f>IF(OR(WBS!$F17="",WBS!$T17=""),"",IF(AND(6&gt;=WBS!$F17,6&lt;=WBS!$T17),IF(WBS!$L17="Done",3,IF(WBS!$L17="Doing",2,IF(WBS!$L17="Blocked",4,IF(WBS!$L17="Deferred",5,1)))),""))</f>
        <v/>
      </c>
      <c r="L17" s="58" t="str">
        <f>IF(OR(WBS!$F17="",WBS!$T17=""),"",IF(AND(7&gt;=WBS!$F17,7&lt;=WBS!$T17),IF(WBS!$L17="Done",3,IF(WBS!$L17="Doing",2,IF(WBS!$L17="Blocked",4,IF(WBS!$L17="Deferred",5,1)))),""))</f>
        <v/>
      </c>
      <c r="M17" s="58" t="str">
        <f>IF(OR(WBS!$F17="",WBS!$T17=""),"",IF(AND(8&gt;=WBS!$F17,8&lt;=WBS!$T17),IF(WBS!$L17="Done",3,IF(WBS!$L17="Doing",2,IF(WBS!$L17="Blocked",4,IF(WBS!$L17="Deferred",5,1)))),""))</f>
        <v/>
      </c>
      <c r="N17" s="58" t="str">
        <f>IF(OR(WBS!$F17="",WBS!$T17=""),"",IF(AND(9&gt;=WBS!$F17,9&lt;=WBS!$T17),IF(WBS!$L17="Done",3,IF(WBS!$L17="Doing",2,IF(WBS!$L17="Blocked",4,IF(WBS!$L17="Deferred",5,1)))),""))</f>
        <v/>
      </c>
      <c r="O17" s="58" t="str">
        <f>IF(OR(WBS!$F17="",WBS!$T17=""),"",IF(AND(10&gt;=WBS!$F17,10&lt;=WBS!$T17),IF(WBS!$L17="Done",3,IF(WBS!$L17="Doing",2,IF(WBS!$L17="Blocked",4,IF(WBS!$L17="Deferred",5,1)))),""))</f>
        <v/>
      </c>
      <c r="P17" s="58" t="str">
        <f>IF(OR(WBS!$F17="",WBS!$T17=""),"",IF(AND(11&gt;=WBS!$F17,11&lt;=WBS!$T17),IF(WBS!$L17="Done",3,IF(WBS!$L17="Doing",2,IF(WBS!$L17="Blocked",4,IF(WBS!$L17="Deferred",5,1)))),""))</f>
        <v/>
      </c>
      <c r="Q17" s="58" t="str">
        <f>IF(OR(WBS!$F17="",WBS!$T17=""),"",IF(AND(12&gt;=WBS!$F17,12&lt;=WBS!$T17),IF(WBS!$L17="Done",3,IF(WBS!$L17="Doing",2,IF(WBS!$L17="Blocked",4,IF(WBS!$L17="Deferred",5,1)))),""))</f>
        <v/>
      </c>
      <c r="R17" s="58" t="str">
        <f>IF(OR(WBS!$F17="",WBS!$T17=""),"",IF(AND(13&gt;=WBS!$F17,13&lt;=WBS!$T17),IF(WBS!$L17="Done",3,IF(WBS!$L17="Doing",2,IF(WBS!$L17="Blocked",4,IF(WBS!$L17="Deferred",5,1)))),""))</f>
        <v/>
      </c>
      <c r="S17" s="58" t="str">
        <f>IF(OR(WBS!$F17="",WBS!$T17=""),"",IF(AND(14&gt;=WBS!$F17,14&lt;=WBS!$T17),IF(WBS!$L17="Done",3,IF(WBS!$L17="Doing",2,IF(WBS!$L17="Blocked",4,IF(WBS!$L17="Deferred",5,1)))),""))</f>
        <v/>
      </c>
      <c r="T17" s="58" t="str">
        <f>IF(OR(WBS!$F17="",WBS!$T17=""),"",IF(AND(15&gt;=WBS!$F17,15&lt;=WBS!$T17),IF(WBS!$L17="Done",3,IF(WBS!$L17="Doing",2,IF(WBS!$L17="Blocked",4,IF(WBS!$L17="Deferred",5,1)))),""))</f>
        <v/>
      </c>
      <c r="U17" s="58" t="str">
        <f>IF(OR(WBS!$F17="",WBS!$T17=""),"",IF(AND(16&gt;=WBS!$F17,16&lt;=WBS!$T17),IF(WBS!$L17="Done",3,IF(WBS!$L17="Doing",2,IF(WBS!$L17="Blocked",4,IF(WBS!$L17="Deferred",5,1)))),""))</f>
        <v/>
      </c>
      <c r="V17" s="58" t="str">
        <f>IF(OR(WBS!$F17="",WBS!$T17=""),"",IF(AND(17&gt;=WBS!$F17,17&lt;=WBS!$T17),IF(WBS!$L17="Done",3,IF(WBS!$L17="Doing",2,IF(WBS!$L17="Blocked",4,IF(WBS!$L17="Deferred",5,1)))),""))</f>
        <v/>
      </c>
      <c r="W17" s="58" t="str">
        <f>IF(OR(WBS!$F17="",WBS!$T17=""),"",IF(AND(18&gt;=WBS!$F17,18&lt;=WBS!$T17),IF(WBS!$L17="Done",3,IF(WBS!$L17="Doing",2,IF(WBS!$L17="Blocked",4,IF(WBS!$L17="Deferred",5,1)))),""))</f>
        <v/>
      </c>
      <c r="X17" s="58" t="str">
        <f>IF(OR(WBS!$F17="",WBS!$T17=""),"",IF(AND(19&gt;=WBS!$F17,19&lt;=WBS!$T17),IF(WBS!$L17="Done",3,IF(WBS!$L17="Doing",2,IF(WBS!$L17="Blocked",4,IF(WBS!$L17="Deferred",5,1)))),""))</f>
        <v/>
      </c>
      <c r="Y17" s="58" t="str">
        <f>IF(OR(WBS!$F17="",WBS!$T17=""),"",IF(AND(20&gt;=WBS!$F17,20&lt;=WBS!$T17),IF(WBS!$L17="Done",3,IF(WBS!$L17="Doing",2,IF(WBS!$L17="Blocked",4,IF(WBS!$L17="Deferred",5,1)))),""))</f>
        <v/>
      </c>
      <c r="Z17" s="58" t="str">
        <f>IF(OR(WBS!$F17="",WBS!$T17=""),"",IF(AND(21&gt;=WBS!$F17,21&lt;=WBS!$T17),IF(WBS!$L17="Done",3,IF(WBS!$L17="Doing",2,IF(WBS!$L17="Blocked",4,IF(WBS!$L17="Deferred",5,1)))),""))</f>
        <v/>
      </c>
    </row>
    <row r="18" spans="1:26" x14ac:dyDescent="0.3">
      <c r="A18" s="64" t="str">
        <f>WBS!$A18</f>
        <v>1.3.3</v>
      </c>
      <c r="B18" s="65" t="str">
        <f>WBS!$C18</f>
        <v xml:space="preserve">        User stories and acceptance criteria for all Must items</v>
      </c>
      <c r="C18" s="66" t="str">
        <f>IF(WBS!$E18="","",WBS!$E18)</f>
        <v>REQ</v>
      </c>
      <c r="D18" s="67">
        <f>WBS!$J18</f>
        <v>3</v>
      </c>
      <c r="E18" s="68">
        <f>WBS!$M18</f>
        <v>0</v>
      </c>
      <c r="F18" s="58" t="str">
        <f>IF(OR(WBS!$F18="",WBS!$T18=""),"",IF(AND(1&gt;=WBS!$F18,1&lt;=WBS!$T18),IF(WBS!$L18="Done",3,IF(WBS!$L18="Doing",2,IF(WBS!$L18="Blocked",4,IF(WBS!$L18="Deferred",5,1)))),""))</f>
        <v/>
      </c>
      <c r="G18" s="58" t="str">
        <f>IF(OR(WBS!$F18="",WBS!$T18=""),"",IF(AND(2&gt;=WBS!$F18,2&lt;=WBS!$T18),IF(WBS!$L18="Done",3,IF(WBS!$L18="Doing",2,IF(WBS!$L18="Blocked",4,IF(WBS!$L18="Deferred",5,1)))),""))</f>
        <v/>
      </c>
      <c r="H18" s="58">
        <f>IF(OR(WBS!$F18="",WBS!$T18=""),"",IF(AND(3&gt;=WBS!$F18,3&lt;=WBS!$T18),IF(WBS!$L18="Done",3,IF(WBS!$L18="Doing",2,IF(WBS!$L18="Blocked",4,IF(WBS!$L18="Deferred",5,1)))),""))</f>
        <v>1</v>
      </c>
      <c r="I18" s="58" t="str">
        <f>IF(OR(WBS!$F18="",WBS!$T18=""),"",IF(AND(4&gt;=WBS!$F18,4&lt;=WBS!$T18),IF(WBS!$L18="Done",3,IF(WBS!$L18="Doing",2,IF(WBS!$L18="Blocked",4,IF(WBS!$L18="Deferred",5,1)))),""))</f>
        <v/>
      </c>
      <c r="J18" s="58" t="str">
        <f>IF(OR(WBS!$F18="",WBS!$T18=""),"",IF(AND(5&gt;=WBS!$F18,5&lt;=WBS!$T18),IF(WBS!$L18="Done",3,IF(WBS!$L18="Doing",2,IF(WBS!$L18="Blocked",4,IF(WBS!$L18="Deferred",5,1)))),""))</f>
        <v/>
      </c>
      <c r="K18" s="58" t="str">
        <f>IF(OR(WBS!$F18="",WBS!$T18=""),"",IF(AND(6&gt;=WBS!$F18,6&lt;=WBS!$T18),IF(WBS!$L18="Done",3,IF(WBS!$L18="Doing",2,IF(WBS!$L18="Blocked",4,IF(WBS!$L18="Deferred",5,1)))),""))</f>
        <v/>
      </c>
      <c r="L18" s="58" t="str">
        <f>IF(OR(WBS!$F18="",WBS!$T18=""),"",IF(AND(7&gt;=WBS!$F18,7&lt;=WBS!$T18),IF(WBS!$L18="Done",3,IF(WBS!$L18="Doing",2,IF(WBS!$L18="Blocked",4,IF(WBS!$L18="Deferred",5,1)))),""))</f>
        <v/>
      </c>
      <c r="M18" s="58" t="str">
        <f>IF(OR(WBS!$F18="",WBS!$T18=""),"",IF(AND(8&gt;=WBS!$F18,8&lt;=WBS!$T18),IF(WBS!$L18="Done",3,IF(WBS!$L18="Doing",2,IF(WBS!$L18="Blocked",4,IF(WBS!$L18="Deferred",5,1)))),""))</f>
        <v/>
      </c>
      <c r="N18" s="58" t="str">
        <f>IF(OR(WBS!$F18="",WBS!$T18=""),"",IF(AND(9&gt;=WBS!$F18,9&lt;=WBS!$T18),IF(WBS!$L18="Done",3,IF(WBS!$L18="Doing",2,IF(WBS!$L18="Blocked",4,IF(WBS!$L18="Deferred",5,1)))),""))</f>
        <v/>
      </c>
      <c r="O18" s="58" t="str">
        <f>IF(OR(WBS!$F18="",WBS!$T18=""),"",IF(AND(10&gt;=WBS!$F18,10&lt;=WBS!$T18),IF(WBS!$L18="Done",3,IF(WBS!$L18="Doing",2,IF(WBS!$L18="Blocked",4,IF(WBS!$L18="Deferred",5,1)))),""))</f>
        <v/>
      </c>
      <c r="P18" s="58" t="str">
        <f>IF(OR(WBS!$F18="",WBS!$T18=""),"",IF(AND(11&gt;=WBS!$F18,11&lt;=WBS!$T18),IF(WBS!$L18="Done",3,IF(WBS!$L18="Doing",2,IF(WBS!$L18="Blocked",4,IF(WBS!$L18="Deferred",5,1)))),""))</f>
        <v/>
      </c>
      <c r="Q18" s="58" t="str">
        <f>IF(OR(WBS!$F18="",WBS!$T18=""),"",IF(AND(12&gt;=WBS!$F18,12&lt;=WBS!$T18),IF(WBS!$L18="Done",3,IF(WBS!$L18="Doing",2,IF(WBS!$L18="Blocked",4,IF(WBS!$L18="Deferred",5,1)))),""))</f>
        <v/>
      </c>
      <c r="R18" s="58" t="str">
        <f>IF(OR(WBS!$F18="",WBS!$T18=""),"",IF(AND(13&gt;=WBS!$F18,13&lt;=WBS!$T18),IF(WBS!$L18="Done",3,IF(WBS!$L18="Doing",2,IF(WBS!$L18="Blocked",4,IF(WBS!$L18="Deferred",5,1)))),""))</f>
        <v/>
      </c>
      <c r="S18" s="58" t="str">
        <f>IF(OR(WBS!$F18="",WBS!$T18=""),"",IF(AND(14&gt;=WBS!$F18,14&lt;=WBS!$T18),IF(WBS!$L18="Done",3,IF(WBS!$L18="Doing",2,IF(WBS!$L18="Blocked",4,IF(WBS!$L18="Deferred",5,1)))),""))</f>
        <v/>
      </c>
      <c r="T18" s="58" t="str">
        <f>IF(OR(WBS!$F18="",WBS!$T18=""),"",IF(AND(15&gt;=WBS!$F18,15&lt;=WBS!$T18),IF(WBS!$L18="Done",3,IF(WBS!$L18="Doing",2,IF(WBS!$L18="Blocked",4,IF(WBS!$L18="Deferred",5,1)))),""))</f>
        <v/>
      </c>
      <c r="U18" s="58" t="str">
        <f>IF(OR(WBS!$F18="",WBS!$T18=""),"",IF(AND(16&gt;=WBS!$F18,16&lt;=WBS!$T18),IF(WBS!$L18="Done",3,IF(WBS!$L18="Doing",2,IF(WBS!$L18="Blocked",4,IF(WBS!$L18="Deferred",5,1)))),""))</f>
        <v/>
      </c>
      <c r="V18" s="58" t="str">
        <f>IF(OR(WBS!$F18="",WBS!$T18=""),"",IF(AND(17&gt;=WBS!$F18,17&lt;=WBS!$T18),IF(WBS!$L18="Done",3,IF(WBS!$L18="Doing",2,IF(WBS!$L18="Blocked",4,IF(WBS!$L18="Deferred",5,1)))),""))</f>
        <v/>
      </c>
      <c r="W18" s="58" t="str">
        <f>IF(OR(WBS!$F18="",WBS!$T18=""),"",IF(AND(18&gt;=WBS!$F18,18&lt;=WBS!$T18),IF(WBS!$L18="Done",3,IF(WBS!$L18="Doing",2,IF(WBS!$L18="Blocked",4,IF(WBS!$L18="Deferred",5,1)))),""))</f>
        <v/>
      </c>
      <c r="X18" s="58" t="str">
        <f>IF(OR(WBS!$F18="",WBS!$T18=""),"",IF(AND(19&gt;=WBS!$F18,19&lt;=WBS!$T18),IF(WBS!$L18="Done",3,IF(WBS!$L18="Doing",2,IF(WBS!$L18="Blocked",4,IF(WBS!$L18="Deferred",5,1)))),""))</f>
        <v/>
      </c>
      <c r="Y18" s="58" t="str">
        <f>IF(OR(WBS!$F18="",WBS!$T18=""),"",IF(AND(20&gt;=WBS!$F18,20&lt;=WBS!$T18),IF(WBS!$L18="Done",3,IF(WBS!$L18="Doing",2,IF(WBS!$L18="Blocked",4,IF(WBS!$L18="Deferred",5,1)))),""))</f>
        <v/>
      </c>
      <c r="Z18" s="58" t="str">
        <f>IF(OR(WBS!$F18="",WBS!$T18=""),"",IF(AND(21&gt;=WBS!$F18,21&lt;=WBS!$T18),IF(WBS!$L18="Done",3,IF(WBS!$L18="Doing",2,IF(WBS!$L18="Blocked",4,IF(WBS!$L18="Deferred",5,1)))),""))</f>
        <v/>
      </c>
    </row>
    <row r="19" spans="1:26" x14ac:dyDescent="0.3">
      <c r="A19" s="64" t="str">
        <f>WBS!$A19</f>
        <v>1.3.4</v>
      </c>
      <c r="B19" s="65" t="str">
        <f>WBS!$C19</f>
        <v xml:space="preserve">        Traceability matrix skeleton REQ to US to AC to test</v>
      </c>
      <c r="C19" s="66" t="str">
        <f>IF(WBS!$E19="","",WBS!$E19)</f>
        <v>REQ</v>
      </c>
      <c r="D19" s="67">
        <f>WBS!$J19</f>
        <v>1</v>
      </c>
      <c r="E19" s="68">
        <f>WBS!$M19</f>
        <v>0</v>
      </c>
      <c r="F19" s="58" t="str">
        <f>IF(OR(WBS!$F19="",WBS!$T19=""),"",IF(AND(1&gt;=WBS!$F19,1&lt;=WBS!$T19),IF(WBS!$L19="Done",3,IF(WBS!$L19="Doing",2,IF(WBS!$L19="Blocked",4,IF(WBS!$L19="Deferred",5,1)))),""))</f>
        <v/>
      </c>
      <c r="G19" s="58" t="str">
        <f>IF(OR(WBS!$F19="",WBS!$T19=""),"",IF(AND(2&gt;=WBS!$F19,2&lt;=WBS!$T19),IF(WBS!$L19="Done",3,IF(WBS!$L19="Doing",2,IF(WBS!$L19="Blocked",4,IF(WBS!$L19="Deferred",5,1)))),""))</f>
        <v/>
      </c>
      <c r="H19" s="58">
        <f>IF(OR(WBS!$F19="",WBS!$T19=""),"",IF(AND(3&gt;=WBS!$F19,3&lt;=WBS!$T19),IF(WBS!$L19="Done",3,IF(WBS!$L19="Doing",2,IF(WBS!$L19="Blocked",4,IF(WBS!$L19="Deferred",5,1)))),""))</f>
        <v>1</v>
      </c>
      <c r="I19" s="58" t="str">
        <f>IF(OR(WBS!$F19="",WBS!$T19=""),"",IF(AND(4&gt;=WBS!$F19,4&lt;=WBS!$T19),IF(WBS!$L19="Done",3,IF(WBS!$L19="Doing",2,IF(WBS!$L19="Blocked",4,IF(WBS!$L19="Deferred",5,1)))),""))</f>
        <v/>
      </c>
      <c r="J19" s="58" t="str">
        <f>IF(OR(WBS!$F19="",WBS!$T19=""),"",IF(AND(5&gt;=WBS!$F19,5&lt;=WBS!$T19),IF(WBS!$L19="Done",3,IF(WBS!$L19="Doing",2,IF(WBS!$L19="Blocked",4,IF(WBS!$L19="Deferred",5,1)))),""))</f>
        <v/>
      </c>
      <c r="K19" s="58" t="str">
        <f>IF(OR(WBS!$F19="",WBS!$T19=""),"",IF(AND(6&gt;=WBS!$F19,6&lt;=WBS!$T19),IF(WBS!$L19="Done",3,IF(WBS!$L19="Doing",2,IF(WBS!$L19="Blocked",4,IF(WBS!$L19="Deferred",5,1)))),""))</f>
        <v/>
      </c>
      <c r="L19" s="58" t="str">
        <f>IF(OR(WBS!$F19="",WBS!$T19=""),"",IF(AND(7&gt;=WBS!$F19,7&lt;=WBS!$T19),IF(WBS!$L19="Done",3,IF(WBS!$L19="Doing",2,IF(WBS!$L19="Blocked",4,IF(WBS!$L19="Deferred",5,1)))),""))</f>
        <v/>
      </c>
      <c r="M19" s="58" t="str">
        <f>IF(OR(WBS!$F19="",WBS!$T19=""),"",IF(AND(8&gt;=WBS!$F19,8&lt;=WBS!$T19),IF(WBS!$L19="Done",3,IF(WBS!$L19="Doing",2,IF(WBS!$L19="Blocked",4,IF(WBS!$L19="Deferred",5,1)))),""))</f>
        <v/>
      </c>
      <c r="N19" s="58" t="str">
        <f>IF(OR(WBS!$F19="",WBS!$T19=""),"",IF(AND(9&gt;=WBS!$F19,9&lt;=WBS!$T19),IF(WBS!$L19="Done",3,IF(WBS!$L19="Doing",2,IF(WBS!$L19="Blocked",4,IF(WBS!$L19="Deferred",5,1)))),""))</f>
        <v/>
      </c>
      <c r="O19" s="58" t="str">
        <f>IF(OR(WBS!$F19="",WBS!$T19=""),"",IF(AND(10&gt;=WBS!$F19,10&lt;=WBS!$T19),IF(WBS!$L19="Done",3,IF(WBS!$L19="Doing",2,IF(WBS!$L19="Blocked",4,IF(WBS!$L19="Deferred",5,1)))),""))</f>
        <v/>
      </c>
      <c r="P19" s="58" t="str">
        <f>IF(OR(WBS!$F19="",WBS!$T19=""),"",IF(AND(11&gt;=WBS!$F19,11&lt;=WBS!$T19),IF(WBS!$L19="Done",3,IF(WBS!$L19="Doing",2,IF(WBS!$L19="Blocked",4,IF(WBS!$L19="Deferred",5,1)))),""))</f>
        <v/>
      </c>
      <c r="Q19" s="58" t="str">
        <f>IF(OR(WBS!$F19="",WBS!$T19=""),"",IF(AND(12&gt;=WBS!$F19,12&lt;=WBS!$T19),IF(WBS!$L19="Done",3,IF(WBS!$L19="Doing",2,IF(WBS!$L19="Blocked",4,IF(WBS!$L19="Deferred",5,1)))),""))</f>
        <v/>
      </c>
      <c r="R19" s="58" t="str">
        <f>IF(OR(WBS!$F19="",WBS!$T19=""),"",IF(AND(13&gt;=WBS!$F19,13&lt;=WBS!$T19),IF(WBS!$L19="Done",3,IF(WBS!$L19="Doing",2,IF(WBS!$L19="Blocked",4,IF(WBS!$L19="Deferred",5,1)))),""))</f>
        <v/>
      </c>
      <c r="S19" s="58" t="str">
        <f>IF(OR(WBS!$F19="",WBS!$T19=""),"",IF(AND(14&gt;=WBS!$F19,14&lt;=WBS!$T19),IF(WBS!$L19="Done",3,IF(WBS!$L19="Doing",2,IF(WBS!$L19="Blocked",4,IF(WBS!$L19="Deferred",5,1)))),""))</f>
        <v/>
      </c>
      <c r="T19" s="58" t="str">
        <f>IF(OR(WBS!$F19="",WBS!$T19=""),"",IF(AND(15&gt;=WBS!$F19,15&lt;=WBS!$T19),IF(WBS!$L19="Done",3,IF(WBS!$L19="Doing",2,IF(WBS!$L19="Blocked",4,IF(WBS!$L19="Deferred",5,1)))),""))</f>
        <v/>
      </c>
      <c r="U19" s="58" t="str">
        <f>IF(OR(WBS!$F19="",WBS!$T19=""),"",IF(AND(16&gt;=WBS!$F19,16&lt;=WBS!$T19),IF(WBS!$L19="Done",3,IF(WBS!$L19="Doing",2,IF(WBS!$L19="Blocked",4,IF(WBS!$L19="Deferred",5,1)))),""))</f>
        <v/>
      </c>
      <c r="V19" s="58" t="str">
        <f>IF(OR(WBS!$F19="",WBS!$T19=""),"",IF(AND(17&gt;=WBS!$F19,17&lt;=WBS!$T19),IF(WBS!$L19="Done",3,IF(WBS!$L19="Doing",2,IF(WBS!$L19="Blocked",4,IF(WBS!$L19="Deferred",5,1)))),""))</f>
        <v/>
      </c>
      <c r="W19" s="58" t="str">
        <f>IF(OR(WBS!$F19="",WBS!$T19=""),"",IF(AND(18&gt;=WBS!$F19,18&lt;=WBS!$T19),IF(WBS!$L19="Done",3,IF(WBS!$L19="Doing",2,IF(WBS!$L19="Blocked",4,IF(WBS!$L19="Deferred",5,1)))),""))</f>
        <v/>
      </c>
      <c r="X19" s="58" t="str">
        <f>IF(OR(WBS!$F19="",WBS!$T19=""),"",IF(AND(19&gt;=WBS!$F19,19&lt;=WBS!$T19),IF(WBS!$L19="Done",3,IF(WBS!$L19="Doing",2,IF(WBS!$L19="Blocked",4,IF(WBS!$L19="Deferred",5,1)))),""))</f>
        <v/>
      </c>
      <c r="Y19" s="58" t="str">
        <f>IF(OR(WBS!$F19="",WBS!$T19=""),"",IF(AND(20&gt;=WBS!$F19,20&lt;=WBS!$T19),IF(WBS!$L19="Done",3,IF(WBS!$L19="Doing",2,IF(WBS!$L19="Blocked",4,IF(WBS!$L19="Deferred",5,1)))),""))</f>
        <v/>
      </c>
      <c r="Z19" s="58" t="str">
        <f>IF(OR(WBS!$F19="",WBS!$T19=""),"",IF(AND(21&gt;=WBS!$F19,21&lt;=WBS!$T19),IF(WBS!$L19="Done",3,IF(WBS!$L19="Doing",2,IF(WBS!$L19="Blocked",4,IF(WBS!$L19="Deferred",5,1)))),""))</f>
        <v/>
      </c>
    </row>
    <row r="20" spans="1:26" x14ac:dyDescent="0.3">
      <c r="A20" s="59" t="str">
        <f>WBS!$A20</f>
        <v>1.4</v>
      </c>
      <c r="B20" s="60" t="str">
        <f>WBS!$C20</f>
        <v xml:space="preserve">    Scope control</v>
      </c>
      <c r="C20" s="61" t="str">
        <f>IF(WBS!$E20="","",WBS!$E20)</f>
        <v/>
      </c>
      <c r="D20" s="62">
        <f>WBS!$J20</f>
        <v>1</v>
      </c>
      <c r="E20" s="63">
        <f>WBS!$M20</f>
        <v>0</v>
      </c>
      <c r="F20" s="58" t="str">
        <f>IF(OR(WBS!$F20="",WBS!$T20=""),"",IF(AND(1&gt;=WBS!$F20,1&lt;=WBS!$T20),IF(WBS!$L20="Done",3,IF(WBS!$L20="Doing",2,IF(WBS!$L20="Blocked",4,IF(WBS!$L20="Deferred",5,1)))),""))</f>
        <v/>
      </c>
      <c r="G20" s="58" t="str">
        <f>IF(OR(WBS!$F20="",WBS!$T20=""),"",IF(AND(2&gt;=WBS!$F20,2&lt;=WBS!$T20),IF(WBS!$L20="Done",3,IF(WBS!$L20="Doing",2,IF(WBS!$L20="Blocked",4,IF(WBS!$L20="Deferred",5,1)))),""))</f>
        <v/>
      </c>
      <c r="H20" s="58">
        <f>IF(OR(WBS!$F20="",WBS!$T20=""),"",IF(AND(3&gt;=WBS!$F20,3&lt;=WBS!$T20),IF(WBS!$L20="Done",3,IF(WBS!$L20="Doing",2,IF(WBS!$L20="Blocked",4,IF(WBS!$L20="Deferred",5,1)))),""))</f>
        <v>1</v>
      </c>
      <c r="I20" s="58" t="str">
        <f>IF(OR(WBS!$F20="",WBS!$T20=""),"",IF(AND(4&gt;=WBS!$F20,4&lt;=WBS!$T20),IF(WBS!$L20="Done",3,IF(WBS!$L20="Doing",2,IF(WBS!$L20="Blocked",4,IF(WBS!$L20="Deferred",5,1)))),""))</f>
        <v/>
      </c>
      <c r="J20" s="58" t="str">
        <f>IF(OR(WBS!$F20="",WBS!$T20=""),"",IF(AND(5&gt;=WBS!$F20,5&lt;=WBS!$T20),IF(WBS!$L20="Done",3,IF(WBS!$L20="Doing",2,IF(WBS!$L20="Blocked",4,IF(WBS!$L20="Deferred",5,1)))),""))</f>
        <v/>
      </c>
      <c r="K20" s="58" t="str">
        <f>IF(OR(WBS!$F20="",WBS!$T20=""),"",IF(AND(6&gt;=WBS!$F20,6&lt;=WBS!$T20),IF(WBS!$L20="Done",3,IF(WBS!$L20="Doing",2,IF(WBS!$L20="Blocked",4,IF(WBS!$L20="Deferred",5,1)))),""))</f>
        <v/>
      </c>
      <c r="L20" s="58" t="str">
        <f>IF(OR(WBS!$F20="",WBS!$T20=""),"",IF(AND(7&gt;=WBS!$F20,7&lt;=WBS!$T20),IF(WBS!$L20="Done",3,IF(WBS!$L20="Doing",2,IF(WBS!$L20="Blocked",4,IF(WBS!$L20="Deferred",5,1)))),""))</f>
        <v/>
      </c>
      <c r="M20" s="58" t="str">
        <f>IF(OR(WBS!$F20="",WBS!$T20=""),"",IF(AND(8&gt;=WBS!$F20,8&lt;=WBS!$T20),IF(WBS!$L20="Done",3,IF(WBS!$L20="Doing",2,IF(WBS!$L20="Blocked",4,IF(WBS!$L20="Deferred",5,1)))),""))</f>
        <v/>
      </c>
      <c r="N20" s="58" t="str">
        <f>IF(OR(WBS!$F20="",WBS!$T20=""),"",IF(AND(9&gt;=WBS!$F20,9&lt;=WBS!$T20),IF(WBS!$L20="Done",3,IF(WBS!$L20="Doing",2,IF(WBS!$L20="Blocked",4,IF(WBS!$L20="Deferred",5,1)))),""))</f>
        <v/>
      </c>
      <c r="O20" s="58" t="str">
        <f>IF(OR(WBS!$F20="",WBS!$T20=""),"",IF(AND(10&gt;=WBS!$F20,10&lt;=WBS!$T20),IF(WBS!$L20="Done",3,IF(WBS!$L20="Doing",2,IF(WBS!$L20="Blocked",4,IF(WBS!$L20="Deferred",5,1)))),""))</f>
        <v/>
      </c>
      <c r="P20" s="58" t="str">
        <f>IF(OR(WBS!$F20="",WBS!$T20=""),"",IF(AND(11&gt;=WBS!$F20,11&lt;=WBS!$T20),IF(WBS!$L20="Done",3,IF(WBS!$L20="Doing",2,IF(WBS!$L20="Blocked",4,IF(WBS!$L20="Deferred",5,1)))),""))</f>
        <v/>
      </c>
      <c r="Q20" s="58" t="str">
        <f>IF(OR(WBS!$F20="",WBS!$T20=""),"",IF(AND(12&gt;=WBS!$F20,12&lt;=WBS!$T20),IF(WBS!$L20="Done",3,IF(WBS!$L20="Doing",2,IF(WBS!$L20="Blocked",4,IF(WBS!$L20="Deferred",5,1)))),""))</f>
        <v/>
      </c>
      <c r="R20" s="58" t="str">
        <f>IF(OR(WBS!$F20="",WBS!$T20=""),"",IF(AND(13&gt;=WBS!$F20,13&lt;=WBS!$T20),IF(WBS!$L20="Done",3,IF(WBS!$L20="Doing",2,IF(WBS!$L20="Blocked",4,IF(WBS!$L20="Deferred",5,1)))),""))</f>
        <v/>
      </c>
      <c r="S20" s="58" t="str">
        <f>IF(OR(WBS!$F20="",WBS!$T20=""),"",IF(AND(14&gt;=WBS!$F20,14&lt;=WBS!$T20),IF(WBS!$L20="Done",3,IF(WBS!$L20="Doing",2,IF(WBS!$L20="Blocked",4,IF(WBS!$L20="Deferred",5,1)))),""))</f>
        <v/>
      </c>
      <c r="T20" s="58" t="str">
        <f>IF(OR(WBS!$F20="",WBS!$T20=""),"",IF(AND(15&gt;=WBS!$F20,15&lt;=WBS!$T20),IF(WBS!$L20="Done",3,IF(WBS!$L20="Doing",2,IF(WBS!$L20="Blocked",4,IF(WBS!$L20="Deferred",5,1)))),""))</f>
        <v/>
      </c>
      <c r="U20" s="58" t="str">
        <f>IF(OR(WBS!$F20="",WBS!$T20=""),"",IF(AND(16&gt;=WBS!$F20,16&lt;=WBS!$T20),IF(WBS!$L20="Done",3,IF(WBS!$L20="Doing",2,IF(WBS!$L20="Blocked",4,IF(WBS!$L20="Deferred",5,1)))),""))</f>
        <v/>
      </c>
      <c r="V20" s="58" t="str">
        <f>IF(OR(WBS!$F20="",WBS!$T20=""),"",IF(AND(17&gt;=WBS!$F20,17&lt;=WBS!$T20),IF(WBS!$L20="Done",3,IF(WBS!$L20="Doing",2,IF(WBS!$L20="Blocked",4,IF(WBS!$L20="Deferred",5,1)))),""))</f>
        <v/>
      </c>
      <c r="W20" s="58" t="str">
        <f>IF(OR(WBS!$F20="",WBS!$T20=""),"",IF(AND(18&gt;=WBS!$F20,18&lt;=WBS!$T20),IF(WBS!$L20="Done",3,IF(WBS!$L20="Doing",2,IF(WBS!$L20="Blocked",4,IF(WBS!$L20="Deferred",5,1)))),""))</f>
        <v/>
      </c>
      <c r="X20" s="58" t="str">
        <f>IF(OR(WBS!$F20="",WBS!$T20=""),"",IF(AND(19&gt;=WBS!$F20,19&lt;=WBS!$T20),IF(WBS!$L20="Done",3,IF(WBS!$L20="Doing",2,IF(WBS!$L20="Blocked",4,IF(WBS!$L20="Deferred",5,1)))),""))</f>
        <v/>
      </c>
      <c r="Y20" s="58" t="str">
        <f>IF(OR(WBS!$F20="",WBS!$T20=""),"",IF(AND(20&gt;=WBS!$F20,20&lt;=WBS!$T20),IF(WBS!$L20="Done",3,IF(WBS!$L20="Doing",2,IF(WBS!$L20="Blocked",4,IF(WBS!$L20="Deferred",5,1)))),""))</f>
        <v/>
      </c>
      <c r="Z20" s="58" t="str">
        <f>IF(OR(WBS!$F20="",WBS!$T20=""),"",IF(AND(21&gt;=WBS!$F20,21&lt;=WBS!$T20),IF(WBS!$L20="Done",3,IF(WBS!$L20="Doing",2,IF(WBS!$L20="Blocked",4,IF(WBS!$L20="Deferred",5,1)))),""))</f>
        <v/>
      </c>
    </row>
    <row r="21" spans="1:26" x14ac:dyDescent="0.3">
      <c r="A21" s="64" t="str">
        <f>WBS!$A21</f>
        <v>1.4.1</v>
      </c>
      <c r="B21" s="65" t="str">
        <f>WBS!$C21</f>
        <v xml:space="preserve">        Send open questions OQ-01 to OQ-08 to assessors</v>
      </c>
      <c r="C21" s="66" t="str">
        <f>IF(WBS!$E21="","",WBS!$E21)</f>
        <v>REQ</v>
      </c>
      <c r="D21" s="67">
        <f>WBS!$J21</f>
        <v>0.5</v>
      </c>
      <c r="E21" s="68">
        <f>WBS!$M21</f>
        <v>0</v>
      </c>
      <c r="F21" s="58" t="str">
        <f>IF(OR(WBS!$F21="",WBS!$T21=""),"",IF(AND(1&gt;=WBS!$F21,1&lt;=WBS!$T21),IF(WBS!$L21="Done",3,IF(WBS!$L21="Doing",2,IF(WBS!$L21="Blocked",4,IF(WBS!$L21="Deferred",5,1)))),""))</f>
        <v/>
      </c>
      <c r="G21" s="58" t="str">
        <f>IF(OR(WBS!$F21="",WBS!$T21=""),"",IF(AND(2&gt;=WBS!$F21,2&lt;=WBS!$T21),IF(WBS!$L21="Done",3,IF(WBS!$L21="Doing",2,IF(WBS!$L21="Blocked",4,IF(WBS!$L21="Deferred",5,1)))),""))</f>
        <v/>
      </c>
      <c r="H21" s="58">
        <f>IF(OR(WBS!$F21="",WBS!$T21=""),"",IF(AND(3&gt;=WBS!$F21,3&lt;=WBS!$T21),IF(WBS!$L21="Done",3,IF(WBS!$L21="Doing",2,IF(WBS!$L21="Blocked",4,IF(WBS!$L21="Deferred",5,1)))),""))</f>
        <v>1</v>
      </c>
      <c r="I21" s="58" t="str">
        <f>IF(OR(WBS!$F21="",WBS!$T21=""),"",IF(AND(4&gt;=WBS!$F21,4&lt;=WBS!$T21),IF(WBS!$L21="Done",3,IF(WBS!$L21="Doing",2,IF(WBS!$L21="Blocked",4,IF(WBS!$L21="Deferred",5,1)))),""))</f>
        <v/>
      </c>
      <c r="J21" s="58" t="str">
        <f>IF(OR(WBS!$F21="",WBS!$T21=""),"",IF(AND(5&gt;=WBS!$F21,5&lt;=WBS!$T21),IF(WBS!$L21="Done",3,IF(WBS!$L21="Doing",2,IF(WBS!$L21="Blocked",4,IF(WBS!$L21="Deferred",5,1)))),""))</f>
        <v/>
      </c>
      <c r="K21" s="58" t="str">
        <f>IF(OR(WBS!$F21="",WBS!$T21=""),"",IF(AND(6&gt;=WBS!$F21,6&lt;=WBS!$T21),IF(WBS!$L21="Done",3,IF(WBS!$L21="Doing",2,IF(WBS!$L21="Blocked",4,IF(WBS!$L21="Deferred",5,1)))),""))</f>
        <v/>
      </c>
      <c r="L21" s="58" t="str">
        <f>IF(OR(WBS!$F21="",WBS!$T21=""),"",IF(AND(7&gt;=WBS!$F21,7&lt;=WBS!$T21),IF(WBS!$L21="Done",3,IF(WBS!$L21="Doing",2,IF(WBS!$L21="Blocked",4,IF(WBS!$L21="Deferred",5,1)))),""))</f>
        <v/>
      </c>
      <c r="M21" s="58" t="str">
        <f>IF(OR(WBS!$F21="",WBS!$T21=""),"",IF(AND(8&gt;=WBS!$F21,8&lt;=WBS!$T21),IF(WBS!$L21="Done",3,IF(WBS!$L21="Doing",2,IF(WBS!$L21="Blocked",4,IF(WBS!$L21="Deferred",5,1)))),""))</f>
        <v/>
      </c>
      <c r="N21" s="58" t="str">
        <f>IF(OR(WBS!$F21="",WBS!$T21=""),"",IF(AND(9&gt;=WBS!$F21,9&lt;=WBS!$T21),IF(WBS!$L21="Done",3,IF(WBS!$L21="Doing",2,IF(WBS!$L21="Blocked",4,IF(WBS!$L21="Deferred",5,1)))),""))</f>
        <v/>
      </c>
      <c r="O21" s="58" t="str">
        <f>IF(OR(WBS!$F21="",WBS!$T21=""),"",IF(AND(10&gt;=WBS!$F21,10&lt;=WBS!$T21),IF(WBS!$L21="Done",3,IF(WBS!$L21="Doing",2,IF(WBS!$L21="Blocked",4,IF(WBS!$L21="Deferred",5,1)))),""))</f>
        <v/>
      </c>
      <c r="P21" s="58" t="str">
        <f>IF(OR(WBS!$F21="",WBS!$T21=""),"",IF(AND(11&gt;=WBS!$F21,11&lt;=WBS!$T21),IF(WBS!$L21="Done",3,IF(WBS!$L21="Doing",2,IF(WBS!$L21="Blocked",4,IF(WBS!$L21="Deferred",5,1)))),""))</f>
        <v/>
      </c>
      <c r="Q21" s="58" t="str">
        <f>IF(OR(WBS!$F21="",WBS!$T21=""),"",IF(AND(12&gt;=WBS!$F21,12&lt;=WBS!$T21),IF(WBS!$L21="Done",3,IF(WBS!$L21="Doing",2,IF(WBS!$L21="Blocked",4,IF(WBS!$L21="Deferred",5,1)))),""))</f>
        <v/>
      </c>
      <c r="R21" s="58" t="str">
        <f>IF(OR(WBS!$F21="",WBS!$T21=""),"",IF(AND(13&gt;=WBS!$F21,13&lt;=WBS!$T21),IF(WBS!$L21="Done",3,IF(WBS!$L21="Doing",2,IF(WBS!$L21="Blocked",4,IF(WBS!$L21="Deferred",5,1)))),""))</f>
        <v/>
      </c>
      <c r="S21" s="58" t="str">
        <f>IF(OR(WBS!$F21="",WBS!$T21=""),"",IF(AND(14&gt;=WBS!$F21,14&lt;=WBS!$T21),IF(WBS!$L21="Done",3,IF(WBS!$L21="Doing",2,IF(WBS!$L21="Blocked",4,IF(WBS!$L21="Deferred",5,1)))),""))</f>
        <v/>
      </c>
      <c r="T21" s="58" t="str">
        <f>IF(OR(WBS!$F21="",WBS!$T21=""),"",IF(AND(15&gt;=WBS!$F21,15&lt;=WBS!$T21),IF(WBS!$L21="Done",3,IF(WBS!$L21="Doing",2,IF(WBS!$L21="Blocked",4,IF(WBS!$L21="Deferred",5,1)))),""))</f>
        <v/>
      </c>
      <c r="U21" s="58" t="str">
        <f>IF(OR(WBS!$F21="",WBS!$T21=""),"",IF(AND(16&gt;=WBS!$F21,16&lt;=WBS!$T21),IF(WBS!$L21="Done",3,IF(WBS!$L21="Doing",2,IF(WBS!$L21="Blocked",4,IF(WBS!$L21="Deferred",5,1)))),""))</f>
        <v/>
      </c>
      <c r="V21" s="58" t="str">
        <f>IF(OR(WBS!$F21="",WBS!$T21=""),"",IF(AND(17&gt;=WBS!$F21,17&lt;=WBS!$T21),IF(WBS!$L21="Done",3,IF(WBS!$L21="Doing",2,IF(WBS!$L21="Blocked",4,IF(WBS!$L21="Deferred",5,1)))),""))</f>
        <v/>
      </c>
      <c r="W21" s="58" t="str">
        <f>IF(OR(WBS!$F21="",WBS!$T21=""),"",IF(AND(18&gt;=WBS!$F21,18&lt;=WBS!$T21),IF(WBS!$L21="Done",3,IF(WBS!$L21="Doing",2,IF(WBS!$L21="Blocked",4,IF(WBS!$L21="Deferred",5,1)))),""))</f>
        <v/>
      </c>
      <c r="X21" s="58" t="str">
        <f>IF(OR(WBS!$F21="",WBS!$T21=""),"",IF(AND(19&gt;=WBS!$F21,19&lt;=WBS!$T21),IF(WBS!$L21="Done",3,IF(WBS!$L21="Doing",2,IF(WBS!$L21="Blocked",4,IF(WBS!$L21="Deferred",5,1)))),""))</f>
        <v/>
      </c>
      <c r="Y21" s="58" t="str">
        <f>IF(OR(WBS!$F21="",WBS!$T21=""),"",IF(AND(20&gt;=WBS!$F21,20&lt;=WBS!$T21),IF(WBS!$L21="Done",3,IF(WBS!$L21="Doing",2,IF(WBS!$L21="Blocked",4,IF(WBS!$L21="Deferred",5,1)))),""))</f>
        <v/>
      </c>
      <c r="Z21" s="58" t="str">
        <f>IF(OR(WBS!$F21="",WBS!$T21=""),"",IF(AND(21&gt;=WBS!$F21,21&lt;=WBS!$T21),IF(WBS!$L21="Done",3,IF(WBS!$L21="Doing",2,IF(WBS!$L21="Blocked",4,IF(WBS!$L21="Deferred",5,1)))),""))</f>
        <v/>
      </c>
    </row>
    <row r="22" spans="1:26" x14ac:dyDescent="0.3">
      <c r="A22" s="64" t="str">
        <f>WBS!$A22</f>
        <v>1.4.2</v>
      </c>
      <c r="B22" s="65" t="str">
        <f>WBS!$C22</f>
        <v xml:space="preserve">        Baseline scope and freeze requirements</v>
      </c>
      <c r="C22" s="66" t="str">
        <f>IF(WBS!$E22="","",WBS!$E22)</f>
        <v>REQ</v>
      </c>
      <c r="D22" s="67">
        <f>WBS!$J22</f>
        <v>0.5</v>
      </c>
      <c r="E22" s="68">
        <f>WBS!$M22</f>
        <v>0</v>
      </c>
      <c r="F22" s="58" t="str">
        <f>IF(OR(WBS!$F22="",WBS!$T22=""),"",IF(AND(1&gt;=WBS!$F22,1&lt;=WBS!$T22),IF(WBS!$L22="Done",3,IF(WBS!$L22="Doing",2,IF(WBS!$L22="Blocked",4,IF(WBS!$L22="Deferred",5,1)))),""))</f>
        <v/>
      </c>
      <c r="G22" s="58" t="str">
        <f>IF(OR(WBS!$F22="",WBS!$T22=""),"",IF(AND(2&gt;=WBS!$F22,2&lt;=WBS!$T22),IF(WBS!$L22="Done",3,IF(WBS!$L22="Doing",2,IF(WBS!$L22="Blocked",4,IF(WBS!$L22="Deferred",5,1)))),""))</f>
        <v/>
      </c>
      <c r="H22" s="58">
        <f>IF(OR(WBS!$F22="",WBS!$T22=""),"",IF(AND(3&gt;=WBS!$F22,3&lt;=WBS!$T22),IF(WBS!$L22="Done",3,IF(WBS!$L22="Doing",2,IF(WBS!$L22="Blocked",4,IF(WBS!$L22="Deferred",5,1)))),""))</f>
        <v>1</v>
      </c>
      <c r="I22" s="58" t="str">
        <f>IF(OR(WBS!$F22="",WBS!$T22=""),"",IF(AND(4&gt;=WBS!$F22,4&lt;=WBS!$T22),IF(WBS!$L22="Done",3,IF(WBS!$L22="Doing",2,IF(WBS!$L22="Blocked",4,IF(WBS!$L22="Deferred",5,1)))),""))</f>
        <v/>
      </c>
      <c r="J22" s="58" t="str">
        <f>IF(OR(WBS!$F22="",WBS!$T22=""),"",IF(AND(5&gt;=WBS!$F22,5&lt;=WBS!$T22),IF(WBS!$L22="Done",3,IF(WBS!$L22="Doing",2,IF(WBS!$L22="Blocked",4,IF(WBS!$L22="Deferred",5,1)))),""))</f>
        <v/>
      </c>
      <c r="K22" s="58" t="str">
        <f>IF(OR(WBS!$F22="",WBS!$T22=""),"",IF(AND(6&gt;=WBS!$F22,6&lt;=WBS!$T22),IF(WBS!$L22="Done",3,IF(WBS!$L22="Doing",2,IF(WBS!$L22="Blocked",4,IF(WBS!$L22="Deferred",5,1)))),""))</f>
        <v/>
      </c>
      <c r="L22" s="58" t="str">
        <f>IF(OR(WBS!$F22="",WBS!$T22=""),"",IF(AND(7&gt;=WBS!$F22,7&lt;=WBS!$T22),IF(WBS!$L22="Done",3,IF(WBS!$L22="Doing",2,IF(WBS!$L22="Blocked",4,IF(WBS!$L22="Deferred",5,1)))),""))</f>
        <v/>
      </c>
      <c r="M22" s="58" t="str">
        <f>IF(OR(WBS!$F22="",WBS!$T22=""),"",IF(AND(8&gt;=WBS!$F22,8&lt;=WBS!$T22),IF(WBS!$L22="Done",3,IF(WBS!$L22="Doing",2,IF(WBS!$L22="Blocked",4,IF(WBS!$L22="Deferred",5,1)))),""))</f>
        <v/>
      </c>
      <c r="N22" s="58" t="str">
        <f>IF(OR(WBS!$F22="",WBS!$T22=""),"",IF(AND(9&gt;=WBS!$F22,9&lt;=WBS!$T22),IF(WBS!$L22="Done",3,IF(WBS!$L22="Doing",2,IF(WBS!$L22="Blocked",4,IF(WBS!$L22="Deferred",5,1)))),""))</f>
        <v/>
      </c>
      <c r="O22" s="58" t="str">
        <f>IF(OR(WBS!$F22="",WBS!$T22=""),"",IF(AND(10&gt;=WBS!$F22,10&lt;=WBS!$T22),IF(WBS!$L22="Done",3,IF(WBS!$L22="Doing",2,IF(WBS!$L22="Blocked",4,IF(WBS!$L22="Deferred",5,1)))),""))</f>
        <v/>
      </c>
      <c r="P22" s="58" t="str">
        <f>IF(OR(WBS!$F22="",WBS!$T22=""),"",IF(AND(11&gt;=WBS!$F22,11&lt;=WBS!$T22),IF(WBS!$L22="Done",3,IF(WBS!$L22="Doing",2,IF(WBS!$L22="Blocked",4,IF(WBS!$L22="Deferred",5,1)))),""))</f>
        <v/>
      </c>
      <c r="Q22" s="58" t="str">
        <f>IF(OR(WBS!$F22="",WBS!$T22=""),"",IF(AND(12&gt;=WBS!$F22,12&lt;=WBS!$T22),IF(WBS!$L22="Done",3,IF(WBS!$L22="Doing",2,IF(WBS!$L22="Blocked",4,IF(WBS!$L22="Deferred",5,1)))),""))</f>
        <v/>
      </c>
      <c r="R22" s="58" t="str">
        <f>IF(OR(WBS!$F22="",WBS!$T22=""),"",IF(AND(13&gt;=WBS!$F22,13&lt;=WBS!$T22),IF(WBS!$L22="Done",3,IF(WBS!$L22="Doing",2,IF(WBS!$L22="Blocked",4,IF(WBS!$L22="Deferred",5,1)))),""))</f>
        <v/>
      </c>
      <c r="S22" s="58" t="str">
        <f>IF(OR(WBS!$F22="",WBS!$T22=""),"",IF(AND(14&gt;=WBS!$F22,14&lt;=WBS!$T22),IF(WBS!$L22="Done",3,IF(WBS!$L22="Doing",2,IF(WBS!$L22="Blocked",4,IF(WBS!$L22="Deferred",5,1)))),""))</f>
        <v/>
      </c>
      <c r="T22" s="58" t="str">
        <f>IF(OR(WBS!$F22="",WBS!$T22=""),"",IF(AND(15&gt;=WBS!$F22,15&lt;=WBS!$T22),IF(WBS!$L22="Done",3,IF(WBS!$L22="Doing",2,IF(WBS!$L22="Blocked",4,IF(WBS!$L22="Deferred",5,1)))),""))</f>
        <v/>
      </c>
      <c r="U22" s="58" t="str">
        <f>IF(OR(WBS!$F22="",WBS!$T22=""),"",IF(AND(16&gt;=WBS!$F22,16&lt;=WBS!$T22),IF(WBS!$L22="Done",3,IF(WBS!$L22="Doing",2,IF(WBS!$L22="Blocked",4,IF(WBS!$L22="Deferred",5,1)))),""))</f>
        <v/>
      </c>
      <c r="V22" s="58" t="str">
        <f>IF(OR(WBS!$F22="",WBS!$T22=""),"",IF(AND(17&gt;=WBS!$F22,17&lt;=WBS!$T22),IF(WBS!$L22="Done",3,IF(WBS!$L22="Doing",2,IF(WBS!$L22="Blocked",4,IF(WBS!$L22="Deferred",5,1)))),""))</f>
        <v/>
      </c>
      <c r="W22" s="58" t="str">
        <f>IF(OR(WBS!$F22="",WBS!$T22=""),"",IF(AND(18&gt;=WBS!$F22,18&lt;=WBS!$T22),IF(WBS!$L22="Done",3,IF(WBS!$L22="Doing",2,IF(WBS!$L22="Blocked",4,IF(WBS!$L22="Deferred",5,1)))),""))</f>
        <v/>
      </c>
      <c r="X22" s="58" t="str">
        <f>IF(OR(WBS!$F22="",WBS!$T22=""),"",IF(AND(19&gt;=WBS!$F22,19&lt;=WBS!$T22),IF(WBS!$L22="Done",3,IF(WBS!$L22="Doing",2,IF(WBS!$L22="Blocked",4,IF(WBS!$L22="Deferred",5,1)))),""))</f>
        <v/>
      </c>
      <c r="Y22" s="58" t="str">
        <f>IF(OR(WBS!$F22="",WBS!$T22=""),"",IF(AND(20&gt;=WBS!$F22,20&lt;=WBS!$T22),IF(WBS!$L22="Done",3,IF(WBS!$L22="Doing",2,IF(WBS!$L22="Blocked",4,IF(WBS!$L22="Deferred",5,1)))),""))</f>
        <v/>
      </c>
      <c r="Z22" s="58" t="str">
        <f>IF(OR(WBS!$F22="",WBS!$T22=""),"",IF(AND(21&gt;=WBS!$F22,21&lt;=WBS!$T22),IF(WBS!$L22="Done",3,IF(WBS!$L22="Doing",2,IF(WBS!$L22="Blocked",4,IF(WBS!$L22="Deferred",5,1)))),""))</f>
        <v/>
      </c>
    </row>
    <row r="23" spans="1:26" x14ac:dyDescent="0.3">
      <c r="A23" s="59" t="str">
        <f>WBS!$A23</f>
        <v>1.5</v>
      </c>
      <c r="B23" s="60" t="str">
        <f>WBS!$C23</f>
        <v xml:space="preserve">    Project setup</v>
      </c>
      <c r="C23" s="61" t="str">
        <f>IF(WBS!$E23="","",WBS!$E23)</f>
        <v/>
      </c>
      <c r="D23" s="62">
        <f>WBS!$J23</f>
        <v>4</v>
      </c>
      <c r="E23" s="63">
        <f>WBS!$M23</f>
        <v>0.75</v>
      </c>
      <c r="F23" s="58">
        <f>IF(OR(WBS!$F23="",WBS!$T23=""),"",IF(AND(1&gt;=WBS!$F23,1&lt;=WBS!$T23),IF(WBS!$L23="Done",3,IF(WBS!$L23="Doing",2,IF(WBS!$L23="Blocked",4,IF(WBS!$L23="Deferred",5,1)))),""))</f>
        <v>1</v>
      </c>
      <c r="G23" s="58" t="str">
        <f>IF(OR(WBS!$F23="",WBS!$T23=""),"",IF(AND(2&gt;=WBS!$F23,2&lt;=WBS!$T23),IF(WBS!$L23="Done",3,IF(WBS!$L23="Doing",2,IF(WBS!$L23="Blocked",4,IF(WBS!$L23="Deferred",5,1)))),""))</f>
        <v/>
      </c>
      <c r="H23" s="58" t="str">
        <f>IF(OR(WBS!$F23="",WBS!$T23=""),"",IF(AND(3&gt;=WBS!$F23,3&lt;=WBS!$T23),IF(WBS!$L23="Done",3,IF(WBS!$L23="Doing",2,IF(WBS!$L23="Blocked",4,IF(WBS!$L23="Deferred",5,1)))),""))</f>
        <v/>
      </c>
      <c r="I23" s="58" t="str">
        <f>IF(OR(WBS!$F23="",WBS!$T23=""),"",IF(AND(4&gt;=WBS!$F23,4&lt;=WBS!$T23),IF(WBS!$L23="Done",3,IF(WBS!$L23="Doing",2,IF(WBS!$L23="Blocked",4,IF(WBS!$L23="Deferred",5,1)))),""))</f>
        <v/>
      </c>
      <c r="J23" s="58" t="str">
        <f>IF(OR(WBS!$F23="",WBS!$T23=""),"",IF(AND(5&gt;=WBS!$F23,5&lt;=WBS!$T23),IF(WBS!$L23="Done",3,IF(WBS!$L23="Doing",2,IF(WBS!$L23="Blocked",4,IF(WBS!$L23="Deferred",5,1)))),""))</f>
        <v/>
      </c>
      <c r="K23" s="58" t="str">
        <f>IF(OR(WBS!$F23="",WBS!$T23=""),"",IF(AND(6&gt;=WBS!$F23,6&lt;=WBS!$T23),IF(WBS!$L23="Done",3,IF(WBS!$L23="Doing",2,IF(WBS!$L23="Blocked",4,IF(WBS!$L23="Deferred",5,1)))),""))</f>
        <v/>
      </c>
      <c r="L23" s="58" t="str">
        <f>IF(OR(WBS!$F23="",WBS!$T23=""),"",IF(AND(7&gt;=WBS!$F23,7&lt;=WBS!$T23),IF(WBS!$L23="Done",3,IF(WBS!$L23="Doing",2,IF(WBS!$L23="Blocked",4,IF(WBS!$L23="Deferred",5,1)))),""))</f>
        <v/>
      </c>
      <c r="M23" s="58" t="str">
        <f>IF(OR(WBS!$F23="",WBS!$T23=""),"",IF(AND(8&gt;=WBS!$F23,8&lt;=WBS!$T23),IF(WBS!$L23="Done",3,IF(WBS!$L23="Doing",2,IF(WBS!$L23="Blocked",4,IF(WBS!$L23="Deferred",5,1)))),""))</f>
        <v/>
      </c>
      <c r="N23" s="58" t="str">
        <f>IF(OR(WBS!$F23="",WBS!$T23=""),"",IF(AND(9&gt;=WBS!$F23,9&lt;=WBS!$T23),IF(WBS!$L23="Done",3,IF(WBS!$L23="Doing",2,IF(WBS!$L23="Blocked",4,IF(WBS!$L23="Deferred",5,1)))),""))</f>
        <v/>
      </c>
      <c r="O23" s="58" t="str">
        <f>IF(OR(WBS!$F23="",WBS!$T23=""),"",IF(AND(10&gt;=WBS!$F23,10&lt;=WBS!$T23),IF(WBS!$L23="Done",3,IF(WBS!$L23="Doing",2,IF(WBS!$L23="Blocked",4,IF(WBS!$L23="Deferred",5,1)))),""))</f>
        <v/>
      </c>
      <c r="P23" s="58" t="str">
        <f>IF(OR(WBS!$F23="",WBS!$T23=""),"",IF(AND(11&gt;=WBS!$F23,11&lt;=WBS!$T23),IF(WBS!$L23="Done",3,IF(WBS!$L23="Doing",2,IF(WBS!$L23="Blocked",4,IF(WBS!$L23="Deferred",5,1)))),""))</f>
        <v/>
      </c>
      <c r="Q23" s="58" t="str">
        <f>IF(OR(WBS!$F23="",WBS!$T23=""),"",IF(AND(12&gt;=WBS!$F23,12&lt;=WBS!$T23),IF(WBS!$L23="Done",3,IF(WBS!$L23="Doing",2,IF(WBS!$L23="Blocked",4,IF(WBS!$L23="Deferred",5,1)))),""))</f>
        <v/>
      </c>
      <c r="R23" s="58" t="str">
        <f>IF(OR(WBS!$F23="",WBS!$T23=""),"",IF(AND(13&gt;=WBS!$F23,13&lt;=WBS!$T23),IF(WBS!$L23="Done",3,IF(WBS!$L23="Doing",2,IF(WBS!$L23="Blocked",4,IF(WBS!$L23="Deferred",5,1)))),""))</f>
        <v/>
      </c>
      <c r="S23" s="58" t="str">
        <f>IF(OR(WBS!$F23="",WBS!$T23=""),"",IF(AND(14&gt;=WBS!$F23,14&lt;=WBS!$T23),IF(WBS!$L23="Done",3,IF(WBS!$L23="Doing",2,IF(WBS!$L23="Blocked",4,IF(WBS!$L23="Deferred",5,1)))),""))</f>
        <v/>
      </c>
      <c r="T23" s="58" t="str">
        <f>IF(OR(WBS!$F23="",WBS!$T23=""),"",IF(AND(15&gt;=WBS!$F23,15&lt;=WBS!$T23),IF(WBS!$L23="Done",3,IF(WBS!$L23="Doing",2,IF(WBS!$L23="Blocked",4,IF(WBS!$L23="Deferred",5,1)))),""))</f>
        <v/>
      </c>
      <c r="U23" s="58" t="str">
        <f>IF(OR(WBS!$F23="",WBS!$T23=""),"",IF(AND(16&gt;=WBS!$F23,16&lt;=WBS!$T23),IF(WBS!$L23="Done",3,IF(WBS!$L23="Doing",2,IF(WBS!$L23="Blocked",4,IF(WBS!$L23="Deferred",5,1)))),""))</f>
        <v/>
      </c>
      <c r="V23" s="58" t="str">
        <f>IF(OR(WBS!$F23="",WBS!$T23=""),"",IF(AND(17&gt;=WBS!$F23,17&lt;=WBS!$T23),IF(WBS!$L23="Done",3,IF(WBS!$L23="Doing",2,IF(WBS!$L23="Blocked",4,IF(WBS!$L23="Deferred",5,1)))),""))</f>
        <v/>
      </c>
      <c r="W23" s="58" t="str">
        <f>IF(OR(WBS!$F23="",WBS!$T23=""),"",IF(AND(18&gt;=WBS!$F23,18&lt;=WBS!$T23),IF(WBS!$L23="Done",3,IF(WBS!$L23="Doing",2,IF(WBS!$L23="Blocked",4,IF(WBS!$L23="Deferred",5,1)))),""))</f>
        <v/>
      </c>
      <c r="X23" s="58" t="str">
        <f>IF(OR(WBS!$F23="",WBS!$T23=""),"",IF(AND(19&gt;=WBS!$F23,19&lt;=WBS!$T23),IF(WBS!$L23="Done",3,IF(WBS!$L23="Doing",2,IF(WBS!$L23="Blocked",4,IF(WBS!$L23="Deferred",5,1)))),""))</f>
        <v/>
      </c>
      <c r="Y23" s="58" t="str">
        <f>IF(OR(WBS!$F23="",WBS!$T23=""),"",IF(AND(20&gt;=WBS!$F23,20&lt;=WBS!$T23),IF(WBS!$L23="Done",3,IF(WBS!$L23="Doing",2,IF(WBS!$L23="Blocked",4,IF(WBS!$L23="Deferred",5,1)))),""))</f>
        <v/>
      </c>
      <c r="Z23" s="58" t="str">
        <f>IF(OR(WBS!$F23="",WBS!$T23=""),"",IF(AND(21&gt;=WBS!$F23,21&lt;=WBS!$T23),IF(WBS!$L23="Done",3,IF(WBS!$L23="Doing",2,IF(WBS!$L23="Blocked",4,IF(WBS!$L23="Deferred",5,1)))),""))</f>
        <v/>
      </c>
    </row>
    <row r="24" spans="1:26" x14ac:dyDescent="0.3">
      <c r="A24" s="64" t="str">
        <f>WBS!$A24</f>
        <v>1.5.1</v>
      </c>
      <c r="B24" s="65" t="str">
        <f>WBS!$C24</f>
        <v xml:space="preserve">        Author master delivery plan</v>
      </c>
      <c r="C24" s="66" t="str">
        <f>IF(WBS!$E24="","",WBS!$E24)</f>
        <v>DOC</v>
      </c>
      <c r="D24" s="67">
        <f>WBS!$J24</f>
        <v>2</v>
      </c>
      <c r="E24" s="68">
        <f>WBS!$M24</f>
        <v>1</v>
      </c>
      <c r="F24" s="58">
        <f>IF(OR(WBS!$F24="",WBS!$T24=""),"",IF(AND(1&gt;=WBS!$F24,1&lt;=WBS!$T24),IF(WBS!$L24="Done",3,IF(WBS!$L24="Doing",2,IF(WBS!$L24="Blocked",4,IF(WBS!$L24="Deferred",5,1)))),""))</f>
        <v>3</v>
      </c>
      <c r="G24" s="58" t="str">
        <f>IF(OR(WBS!$F24="",WBS!$T24=""),"",IF(AND(2&gt;=WBS!$F24,2&lt;=WBS!$T24),IF(WBS!$L24="Done",3,IF(WBS!$L24="Doing",2,IF(WBS!$L24="Blocked",4,IF(WBS!$L24="Deferred",5,1)))),""))</f>
        <v/>
      </c>
      <c r="H24" s="58" t="str">
        <f>IF(OR(WBS!$F24="",WBS!$T24=""),"",IF(AND(3&gt;=WBS!$F24,3&lt;=WBS!$T24),IF(WBS!$L24="Done",3,IF(WBS!$L24="Doing",2,IF(WBS!$L24="Blocked",4,IF(WBS!$L24="Deferred",5,1)))),""))</f>
        <v/>
      </c>
      <c r="I24" s="58" t="str">
        <f>IF(OR(WBS!$F24="",WBS!$T24=""),"",IF(AND(4&gt;=WBS!$F24,4&lt;=WBS!$T24),IF(WBS!$L24="Done",3,IF(WBS!$L24="Doing",2,IF(WBS!$L24="Blocked",4,IF(WBS!$L24="Deferred",5,1)))),""))</f>
        <v/>
      </c>
      <c r="J24" s="58" t="str">
        <f>IF(OR(WBS!$F24="",WBS!$T24=""),"",IF(AND(5&gt;=WBS!$F24,5&lt;=WBS!$T24),IF(WBS!$L24="Done",3,IF(WBS!$L24="Doing",2,IF(WBS!$L24="Blocked",4,IF(WBS!$L24="Deferred",5,1)))),""))</f>
        <v/>
      </c>
      <c r="K24" s="58" t="str">
        <f>IF(OR(WBS!$F24="",WBS!$T24=""),"",IF(AND(6&gt;=WBS!$F24,6&lt;=WBS!$T24),IF(WBS!$L24="Done",3,IF(WBS!$L24="Doing",2,IF(WBS!$L24="Blocked",4,IF(WBS!$L24="Deferred",5,1)))),""))</f>
        <v/>
      </c>
      <c r="L24" s="58" t="str">
        <f>IF(OR(WBS!$F24="",WBS!$T24=""),"",IF(AND(7&gt;=WBS!$F24,7&lt;=WBS!$T24),IF(WBS!$L24="Done",3,IF(WBS!$L24="Doing",2,IF(WBS!$L24="Blocked",4,IF(WBS!$L24="Deferred",5,1)))),""))</f>
        <v/>
      </c>
      <c r="M24" s="58" t="str">
        <f>IF(OR(WBS!$F24="",WBS!$T24=""),"",IF(AND(8&gt;=WBS!$F24,8&lt;=WBS!$T24),IF(WBS!$L24="Done",3,IF(WBS!$L24="Doing",2,IF(WBS!$L24="Blocked",4,IF(WBS!$L24="Deferred",5,1)))),""))</f>
        <v/>
      </c>
      <c r="N24" s="58" t="str">
        <f>IF(OR(WBS!$F24="",WBS!$T24=""),"",IF(AND(9&gt;=WBS!$F24,9&lt;=WBS!$T24),IF(WBS!$L24="Done",3,IF(WBS!$L24="Doing",2,IF(WBS!$L24="Blocked",4,IF(WBS!$L24="Deferred",5,1)))),""))</f>
        <v/>
      </c>
      <c r="O24" s="58" t="str">
        <f>IF(OR(WBS!$F24="",WBS!$T24=""),"",IF(AND(10&gt;=WBS!$F24,10&lt;=WBS!$T24),IF(WBS!$L24="Done",3,IF(WBS!$L24="Doing",2,IF(WBS!$L24="Blocked",4,IF(WBS!$L24="Deferred",5,1)))),""))</f>
        <v/>
      </c>
      <c r="P24" s="58" t="str">
        <f>IF(OR(WBS!$F24="",WBS!$T24=""),"",IF(AND(11&gt;=WBS!$F24,11&lt;=WBS!$T24),IF(WBS!$L24="Done",3,IF(WBS!$L24="Doing",2,IF(WBS!$L24="Blocked",4,IF(WBS!$L24="Deferred",5,1)))),""))</f>
        <v/>
      </c>
      <c r="Q24" s="58" t="str">
        <f>IF(OR(WBS!$F24="",WBS!$T24=""),"",IF(AND(12&gt;=WBS!$F24,12&lt;=WBS!$T24),IF(WBS!$L24="Done",3,IF(WBS!$L24="Doing",2,IF(WBS!$L24="Blocked",4,IF(WBS!$L24="Deferred",5,1)))),""))</f>
        <v/>
      </c>
      <c r="R24" s="58" t="str">
        <f>IF(OR(WBS!$F24="",WBS!$T24=""),"",IF(AND(13&gt;=WBS!$F24,13&lt;=WBS!$T24),IF(WBS!$L24="Done",3,IF(WBS!$L24="Doing",2,IF(WBS!$L24="Blocked",4,IF(WBS!$L24="Deferred",5,1)))),""))</f>
        <v/>
      </c>
      <c r="S24" s="58" t="str">
        <f>IF(OR(WBS!$F24="",WBS!$T24=""),"",IF(AND(14&gt;=WBS!$F24,14&lt;=WBS!$T24),IF(WBS!$L24="Done",3,IF(WBS!$L24="Doing",2,IF(WBS!$L24="Blocked",4,IF(WBS!$L24="Deferred",5,1)))),""))</f>
        <v/>
      </c>
      <c r="T24" s="58" t="str">
        <f>IF(OR(WBS!$F24="",WBS!$T24=""),"",IF(AND(15&gt;=WBS!$F24,15&lt;=WBS!$T24),IF(WBS!$L24="Done",3,IF(WBS!$L24="Doing",2,IF(WBS!$L24="Blocked",4,IF(WBS!$L24="Deferred",5,1)))),""))</f>
        <v/>
      </c>
      <c r="U24" s="58" t="str">
        <f>IF(OR(WBS!$F24="",WBS!$T24=""),"",IF(AND(16&gt;=WBS!$F24,16&lt;=WBS!$T24),IF(WBS!$L24="Done",3,IF(WBS!$L24="Doing",2,IF(WBS!$L24="Blocked",4,IF(WBS!$L24="Deferred",5,1)))),""))</f>
        <v/>
      </c>
      <c r="V24" s="58" t="str">
        <f>IF(OR(WBS!$F24="",WBS!$T24=""),"",IF(AND(17&gt;=WBS!$F24,17&lt;=WBS!$T24),IF(WBS!$L24="Done",3,IF(WBS!$L24="Doing",2,IF(WBS!$L24="Blocked",4,IF(WBS!$L24="Deferred",5,1)))),""))</f>
        <v/>
      </c>
      <c r="W24" s="58" t="str">
        <f>IF(OR(WBS!$F24="",WBS!$T24=""),"",IF(AND(18&gt;=WBS!$F24,18&lt;=WBS!$T24),IF(WBS!$L24="Done",3,IF(WBS!$L24="Doing",2,IF(WBS!$L24="Blocked",4,IF(WBS!$L24="Deferred",5,1)))),""))</f>
        <v/>
      </c>
      <c r="X24" s="58" t="str">
        <f>IF(OR(WBS!$F24="",WBS!$T24=""),"",IF(AND(19&gt;=WBS!$F24,19&lt;=WBS!$T24),IF(WBS!$L24="Done",3,IF(WBS!$L24="Doing",2,IF(WBS!$L24="Blocked",4,IF(WBS!$L24="Deferred",5,1)))),""))</f>
        <v/>
      </c>
      <c r="Y24" s="58" t="str">
        <f>IF(OR(WBS!$F24="",WBS!$T24=""),"",IF(AND(20&gt;=WBS!$F24,20&lt;=WBS!$T24),IF(WBS!$L24="Done",3,IF(WBS!$L24="Doing",2,IF(WBS!$L24="Blocked",4,IF(WBS!$L24="Deferred",5,1)))),""))</f>
        <v/>
      </c>
      <c r="Z24" s="58" t="str">
        <f>IF(OR(WBS!$F24="",WBS!$T24=""),"",IF(AND(21&gt;=WBS!$F24,21&lt;=WBS!$T24),IF(WBS!$L24="Done",3,IF(WBS!$L24="Doing",2,IF(WBS!$L24="Blocked",4,IF(WBS!$L24="Deferred",5,1)))),""))</f>
        <v/>
      </c>
    </row>
    <row r="25" spans="1:26" x14ac:dyDescent="0.3">
      <c r="A25" s="64" t="str">
        <f>WBS!$A25</f>
        <v>1.5.2</v>
      </c>
      <c r="B25" s="65" t="str">
        <f>WBS!$C25</f>
        <v xml:space="preserve">        Create repo and docs folder skeleton</v>
      </c>
      <c r="C25" s="66" t="str">
        <f>IF(WBS!$E25="","",WBS!$E25)</f>
        <v>ARCH</v>
      </c>
      <c r="D25" s="67">
        <f>WBS!$J25</f>
        <v>1</v>
      </c>
      <c r="E25" s="68">
        <f>WBS!$M25</f>
        <v>0</v>
      </c>
      <c r="F25" s="58">
        <f>IF(OR(WBS!$F25="",WBS!$T25=""),"",IF(AND(1&gt;=WBS!$F25,1&lt;=WBS!$T25),IF(WBS!$L25="Done",3,IF(WBS!$L25="Doing",2,IF(WBS!$L25="Blocked",4,IF(WBS!$L25="Deferred",5,1)))),""))</f>
        <v>1</v>
      </c>
      <c r="G25" s="58" t="str">
        <f>IF(OR(WBS!$F25="",WBS!$T25=""),"",IF(AND(2&gt;=WBS!$F25,2&lt;=WBS!$T25),IF(WBS!$L25="Done",3,IF(WBS!$L25="Doing",2,IF(WBS!$L25="Blocked",4,IF(WBS!$L25="Deferred",5,1)))),""))</f>
        <v/>
      </c>
      <c r="H25" s="58" t="str">
        <f>IF(OR(WBS!$F25="",WBS!$T25=""),"",IF(AND(3&gt;=WBS!$F25,3&lt;=WBS!$T25),IF(WBS!$L25="Done",3,IF(WBS!$L25="Doing",2,IF(WBS!$L25="Blocked",4,IF(WBS!$L25="Deferred",5,1)))),""))</f>
        <v/>
      </c>
      <c r="I25" s="58" t="str">
        <f>IF(OR(WBS!$F25="",WBS!$T25=""),"",IF(AND(4&gt;=WBS!$F25,4&lt;=WBS!$T25),IF(WBS!$L25="Done",3,IF(WBS!$L25="Doing",2,IF(WBS!$L25="Blocked",4,IF(WBS!$L25="Deferred",5,1)))),""))</f>
        <v/>
      </c>
      <c r="J25" s="58" t="str">
        <f>IF(OR(WBS!$F25="",WBS!$T25=""),"",IF(AND(5&gt;=WBS!$F25,5&lt;=WBS!$T25),IF(WBS!$L25="Done",3,IF(WBS!$L25="Doing",2,IF(WBS!$L25="Blocked",4,IF(WBS!$L25="Deferred",5,1)))),""))</f>
        <v/>
      </c>
      <c r="K25" s="58" t="str">
        <f>IF(OR(WBS!$F25="",WBS!$T25=""),"",IF(AND(6&gt;=WBS!$F25,6&lt;=WBS!$T25),IF(WBS!$L25="Done",3,IF(WBS!$L25="Doing",2,IF(WBS!$L25="Blocked",4,IF(WBS!$L25="Deferred",5,1)))),""))</f>
        <v/>
      </c>
      <c r="L25" s="58" t="str">
        <f>IF(OR(WBS!$F25="",WBS!$T25=""),"",IF(AND(7&gt;=WBS!$F25,7&lt;=WBS!$T25),IF(WBS!$L25="Done",3,IF(WBS!$L25="Doing",2,IF(WBS!$L25="Blocked",4,IF(WBS!$L25="Deferred",5,1)))),""))</f>
        <v/>
      </c>
      <c r="M25" s="58" t="str">
        <f>IF(OR(WBS!$F25="",WBS!$T25=""),"",IF(AND(8&gt;=WBS!$F25,8&lt;=WBS!$T25),IF(WBS!$L25="Done",3,IF(WBS!$L25="Doing",2,IF(WBS!$L25="Blocked",4,IF(WBS!$L25="Deferred",5,1)))),""))</f>
        <v/>
      </c>
      <c r="N25" s="58" t="str">
        <f>IF(OR(WBS!$F25="",WBS!$T25=""),"",IF(AND(9&gt;=WBS!$F25,9&lt;=WBS!$T25),IF(WBS!$L25="Done",3,IF(WBS!$L25="Doing",2,IF(WBS!$L25="Blocked",4,IF(WBS!$L25="Deferred",5,1)))),""))</f>
        <v/>
      </c>
      <c r="O25" s="58" t="str">
        <f>IF(OR(WBS!$F25="",WBS!$T25=""),"",IF(AND(10&gt;=WBS!$F25,10&lt;=WBS!$T25),IF(WBS!$L25="Done",3,IF(WBS!$L25="Doing",2,IF(WBS!$L25="Blocked",4,IF(WBS!$L25="Deferred",5,1)))),""))</f>
        <v/>
      </c>
      <c r="P25" s="58" t="str">
        <f>IF(OR(WBS!$F25="",WBS!$T25=""),"",IF(AND(11&gt;=WBS!$F25,11&lt;=WBS!$T25),IF(WBS!$L25="Done",3,IF(WBS!$L25="Doing",2,IF(WBS!$L25="Blocked",4,IF(WBS!$L25="Deferred",5,1)))),""))</f>
        <v/>
      </c>
      <c r="Q25" s="58" t="str">
        <f>IF(OR(WBS!$F25="",WBS!$T25=""),"",IF(AND(12&gt;=WBS!$F25,12&lt;=WBS!$T25),IF(WBS!$L25="Done",3,IF(WBS!$L25="Doing",2,IF(WBS!$L25="Blocked",4,IF(WBS!$L25="Deferred",5,1)))),""))</f>
        <v/>
      </c>
      <c r="R25" s="58" t="str">
        <f>IF(OR(WBS!$F25="",WBS!$T25=""),"",IF(AND(13&gt;=WBS!$F25,13&lt;=WBS!$T25),IF(WBS!$L25="Done",3,IF(WBS!$L25="Doing",2,IF(WBS!$L25="Blocked",4,IF(WBS!$L25="Deferred",5,1)))),""))</f>
        <v/>
      </c>
      <c r="S25" s="58" t="str">
        <f>IF(OR(WBS!$F25="",WBS!$T25=""),"",IF(AND(14&gt;=WBS!$F25,14&lt;=WBS!$T25),IF(WBS!$L25="Done",3,IF(WBS!$L25="Doing",2,IF(WBS!$L25="Blocked",4,IF(WBS!$L25="Deferred",5,1)))),""))</f>
        <v/>
      </c>
      <c r="T25" s="58" t="str">
        <f>IF(OR(WBS!$F25="",WBS!$T25=""),"",IF(AND(15&gt;=WBS!$F25,15&lt;=WBS!$T25),IF(WBS!$L25="Done",3,IF(WBS!$L25="Doing",2,IF(WBS!$L25="Blocked",4,IF(WBS!$L25="Deferred",5,1)))),""))</f>
        <v/>
      </c>
      <c r="U25" s="58" t="str">
        <f>IF(OR(WBS!$F25="",WBS!$T25=""),"",IF(AND(16&gt;=WBS!$F25,16&lt;=WBS!$T25),IF(WBS!$L25="Done",3,IF(WBS!$L25="Doing",2,IF(WBS!$L25="Blocked",4,IF(WBS!$L25="Deferred",5,1)))),""))</f>
        <v/>
      </c>
      <c r="V25" s="58" t="str">
        <f>IF(OR(WBS!$F25="",WBS!$T25=""),"",IF(AND(17&gt;=WBS!$F25,17&lt;=WBS!$T25),IF(WBS!$L25="Done",3,IF(WBS!$L25="Doing",2,IF(WBS!$L25="Blocked",4,IF(WBS!$L25="Deferred",5,1)))),""))</f>
        <v/>
      </c>
      <c r="W25" s="58" t="str">
        <f>IF(OR(WBS!$F25="",WBS!$T25=""),"",IF(AND(18&gt;=WBS!$F25,18&lt;=WBS!$T25),IF(WBS!$L25="Done",3,IF(WBS!$L25="Doing",2,IF(WBS!$L25="Blocked",4,IF(WBS!$L25="Deferred",5,1)))),""))</f>
        <v/>
      </c>
      <c r="X25" s="58" t="str">
        <f>IF(OR(WBS!$F25="",WBS!$T25=""),"",IF(AND(19&gt;=WBS!$F25,19&lt;=WBS!$T25),IF(WBS!$L25="Done",3,IF(WBS!$L25="Doing",2,IF(WBS!$L25="Blocked",4,IF(WBS!$L25="Deferred",5,1)))),""))</f>
        <v/>
      </c>
      <c r="Y25" s="58" t="str">
        <f>IF(OR(WBS!$F25="",WBS!$T25=""),"",IF(AND(20&gt;=WBS!$F25,20&lt;=WBS!$T25),IF(WBS!$L25="Done",3,IF(WBS!$L25="Doing",2,IF(WBS!$L25="Blocked",4,IF(WBS!$L25="Deferred",5,1)))),""))</f>
        <v/>
      </c>
      <c r="Z25" s="58" t="str">
        <f>IF(OR(WBS!$F25="",WBS!$T25=""),"",IF(AND(21&gt;=WBS!$F25,21&lt;=WBS!$T25),IF(WBS!$L25="Done",3,IF(WBS!$L25="Doing",2,IF(WBS!$L25="Blocked",4,IF(WBS!$L25="Deferred",5,1)))),""))</f>
        <v/>
      </c>
    </row>
    <row r="26" spans="1:26" x14ac:dyDescent="0.3">
      <c r="A26" s="64" t="str">
        <f>WBS!$A26</f>
        <v>1.5.3</v>
      </c>
      <c r="B26" s="65" t="str">
        <f>WBS!$C26</f>
        <v xml:space="preserve">        Set up tracking workbook and git commit template</v>
      </c>
      <c r="C26" s="66" t="str">
        <f>IF(WBS!$E26="","",WBS!$E26)</f>
        <v>DOC</v>
      </c>
      <c r="D26" s="67">
        <f>WBS!$J26</f>
        <v>1</v>
      </c>
      <c r="E26" s="68">
        <f>WBS!$M26</f>
        <v>1</v>
      </c>
      <c r="F26" s="58">
        <f>IF(OR(WBS!$F26="",WBS!$T26=""),"",IF(AND(1&gt;=WBS!$F26,1&lt;=WBS!$T26),IF(WBS!$L26="Done",3,IF(WBS!$L26="Doing",2,IF(WBS!$L26="Blocked",4,IF(WBS!$L26="Deferred",5,1)))),""))</f>
        <v>3</v>
      </c>
      <c r="G26" s="58" t="str">
        <f>IF(OR(WBS!$F26="",WBS!$T26=""),"",IF(AND(2&gt;=WBS!$F26,2&lt;=WBS!$T26),IF(WBS!$L26="Done",3,IF(WBS!$L26="Doing",2,IF(WBS!$L26="Blocked",4,IF(WBS!$L26="Deferred",5,1)))),""))</f>
        <v/>
      </c>
      <c r="H26" s="58" t="str">
        <f>IF(OR(WBS!$F26="",WBS!$T26=""),"",IF(AND(3&gt;=WBS!$F26,3&lt;=WBS!$T26),IF(WBS!$L26="Done",3,IF(WBS!$L26="Doing",2,IF(WBS!$L26="Blocked",4,IF(WBS!$L26="Deferred",5,1)))),""))</f>
        <v/>
      </c>
      <c r="I26" s="58" t="str">
        <f>IF(OR(WBS!$F26="",WBS!$T26=""),"",IF(AND(4&gt;=WBS!$F26,4&lt;=WBS!$T26),IF(WBS!$L26="Done",3,IF(WBS!$L26="Doing",2,IF(WBS!$L26="Blocked",4,IF(WBS!$L26="Deferred",5,1)))),""))</f>
        <v/>
      </c>
      <c r="J26" s="58" t="str">
        <f>IF(OR(WBS!$F26="",WBS!$T26=""),"",IF(AND(5&gt;=WBS!$F26,5&lt;=WBS!$T26),IF(WBS!$L26="Done",3,IF(WBS!$L26="Doing",2,IF(WBS!$L26="Blocked",4,IF(WBS!$L26="Deferred",5,1)))),""))</f>
        <v/>
      </c>
      <c r="K26" s="58" t="str">
        <f>IF(OR(WBS!$F26="",WBS!$T26=""),"",IF(AND(6&gt;=WBS!$F26,6&lt;=WBS!$T26),IF(WBS!$L26="Done",3,IF(WBS!$L26="Doing",2,IF(WBS!$L26="Blocked",4,IF(WBS!$L26="Deferred",5,1)))),""))</f>
        <v/>
      </c>
      <c r="L26" s="58" t="str">
        <f>IF(OR(WBS!$F26="",WBS!$T26=""),"",IF(AND(7&gt;=WBS!$F26,7&lt;=WBS!$T26),IF(WBS!$L26="Done",3,IF(WBS!$L26="Doing",2,IF(WBS!$L26="Blocked",4,IF(WBS!$L26="Deferred",5,1)))),""))</f>
        <v/>
      </c>
      <c r="M26" s="58" t="str">
        <f>IF(OR(WBS!$F26="",WBS!$T26=""),"",IF(AND(8&gt;=WBS!$F26,8&lt;=WBS!$T26),IF(WBS!$L26="Done",3,IF(WBS!$L26="Doing",2,IF(WBS!$L26="Blocked",4,IF(WBS!$L26="Deferred",5,1)))),""))</f>
        <v/>
      </c>
      <c r="N26" s="58" t="str">
        <f>IF(OR(WBS!$F26="",WBS!$T26=""),"",IF(AND(9&gt;=WBS!$F26,9&lt;=WBS!$T26),IF(WBS!$L26="Done",3,IF(WBS!$L26="Doing",2,IF(WBS!$L26="Blocked",4,IF(WBS!$L26="Deferred",5,1)))),""))</f>
        <v/>
      </c>
      <c r="O26" s="58" t="str">
        <f>IF(OR(WBS!$F26="",WBS!$T26=""),"",IF(AND(10&gt;=WBS!$F26,10&lt;=WBS!$T26),IF(WBS!$L26="Done",3,IF(WBS!$L26="Doing",2,IF(WBS!$L26="Blocked",4,IF(WBS!$L26="Deferred",5,1)))),""))</f>
        <v/>
      </c>
      <c r="P26" s="58" t="str">
        <f>IF(OR(WBS!$F26="",WBS!$T26=""),"",IF(AND(11&gt;=WBS!$F26,11&lt;=WBS!$T26),IF(WBS!$L26="Done",3,IF(WBS!$L26="Doing",2,IF(WBS!$L26="Blocked",4,IF(WBS!$L26="Deferred",5,1)))),""))</f>
        <v/>
      </c>
      <c r="Q26" s="58" t="str">
        <f>IF(OR(WBS!$F26="",WBS!$T26=""),"",IF(AND(12&gt;=WBS!$F26,12&lt;=WBS!$T26),IF(WBS!$L26="Done",3,IF(WBS!$L26="Doing",2,IF(WBS!$L26="Blocked",4,IF(WBS!$L26="Deferred",5,1)))),""))</f>
        <v/>
      </c>
      <c r="R26" s="58" t="str">
        <f>IF(OR(WBS!$F26="",WBS!$T26=""),"",IF(AND(13&gt;=WBS!$F26,13&lt;=WBS!$T26),IF(WBS!$L26="Done",3,IF(WBS!$L26="Doing",2,IF(WBS!$L26="Blocked",4,IF(WBS!$L26="Deferred",5,1)))),""))</f>
        <v/>
      </c>
      <c r="S26" s="58" t="str">
        <f>IF(OR(WBS!$F26="",WBS!$T26=""),"",IF(AND(14&gt;=WBS!$F26,14&lt;=WBS!$T26),IF(WBS!$L26="Done",3,IF(WBS!$L26="Doing",2,IF(WBS!$L26="Blocked",4,IF(WBS!$L26="Deferred",5,1)))),""))</f>
        <v/>
      </c>
      <c r="T26" s="58" t="str">
        <f>IF(OR(WBS!$F26="",WBS!$T26=""),"",IF(AND(15&gt;=WBS!$F26,15&lt;=WBS!$T26),IF(WBS!$L26="Done",3,IF(WBS!$L26="Doing",2,IF(WBS!$L26="Blocked",4,IF(WBS!$L26="Deferred",5,1)))),""))</f>
        <v/>
      </c>
      <c r="U26" s="58" t="str">
        <f>IF(OR(WBS!$F26="",WBS!$T26=""),"",IF(AND(16&gt;=WBS!$F26,16&lt;=WBS!$T26),IF(WBS!$L26="Done",3,IF(WBS!$L26="Doing",2,IF(WBS!$L26="Blocked",4,IF(WBS!$L26="Deferred",5,1)))),""))</f>
        <v/>
      </c>
      <c r="V26" s="58" t="str">
        <f>IF(OR(WBS!$F26="",WBS!$T26=""),"",IF(AND(17&gt;=WBS!$F26,17&lt;=WBS!$T26),IF(WBS!$L26="Done",3,IF(WBS!$L26="Doing",2,IF(WBS!$L26="Blocked",4,IF(WBS!$L26="Deferred",5,1)))),""))</f>
        <v/>
      </c>
      <c r="W26" s="58" t="str">
        <f>IF(OR(WBS!$F26="",WBS!$T26=""),"",IF(AND(18&gt;=WBS!$F26,18&lt;=WBS!$T26),IF(WBS!$L26="Done",3,IF(WBS!$L26="Doing",2,IF(WBS!$L26="Blocked",4,IF(WBS!$L26="Deferred",5,1)))),""))</f>
        <v/>
      </c>
      <c r="X26" s="58" t="str">
        <f>IF(OR(WBS!$F26="",WBS!$T26=""),"",IF(AND(19&gt;=WBS!$F26,19&lt;=WBS!$T26),IF(WBS!$L26="Done",3,IF(WBS!$L26="Doing",2,IF(WBS!$L26="Blocked",4,IF(WBS!$L26="Deferred",5,1)))),""))</f>
        <v/>
      </c>
      <c r="Y26" s="58" t="str">
        <f>IF(OR(WBS!$F26="",WBS!$T26=""),"",IF(AND(20&gt;=WBS!$F26,20&lt;=WBS!$T26),IF(WBS!$L26="Done",3,IF(WBS!$L26="Doing",2,IF(WBS!$L26="Blocked",4,IF(WBS!$L26="Deferred",5,1)))),""))</f>
        <v/>
      </c>
      <c r="Z26" s="58" t="str">
        <f>IF(OR(WBS!$F26="",WBS!$T26=""),"",IF(AND(21&gt;=WBS!$F26,21&lt;=WBS!$T26),IF(WBS!$L26="Done",3,IF(WBS!$L26="Doing",2,IF(WBS!$L26="Blocked",4,IF(WBS!$L26="Deferred",5,1)))),""))</f>
        <v/>
      </c>
    </row>
    <row r="27" spans="1:26" x14ac:dyDescent="0.3">
      <c r="A27" s="53" t="str">
        <f>WBS!$A27</f>
        <v>2</v>
      </c>
      <c r="B27" s="54" t="str">
        <f>WBS!$C27</f>
        <v>Design and Decide</v>
      </c>
      <c r="C27" s="55" t="str">
        <f>IF(WBS!$E27="","",WBS!$E27)</f>
        <v/>
      </c>
      <c r="D27" s="56">
        <f>WBS!$J27</f>
        <v>16</v>
      </c>
      <c r="E27" s="57">
        <f>WBS!$M27</f>
        <v>0</v>
      </c>
      <c r="F27" s="58" t="str">
        <f>IF(OR(WBS!$F27="",WBS!$T27=""),"",IF(AND(1&gt;=WBS!$F27,1&lt;=WBS!$T27),IF(WBS!$L27="Done",3,IF(WBS!$L27="Doing",2,IF(WBS!$L27="Blocked",4,IF(WBS!$L27="Deferred",5,1)))),""))</f>
        <v/>
      </c>
      <c r="G27" s="58" t="str">
        <f>IF(OR(WBS!$F27="",WBS!$T27=""),"",IF(AND(2&gt;=WBS!$F27,2&lt;=WBS!$T27),IF(WBS!$L27="Done",3,IF(WBS!$L27="Doing",2,IF(WBS!$L27="Blocked",4,IF(WBS!$L27="Deferred",5,1)))),""))</f>
        <v/>
      </c>
      <c r="H27" s="58" t="str">
        <f>IF(OR(WBS!$F27="",WBS!$T27=""),"",IF(AND(3&gt;=WBS!$F27,3&lt;=WBS!$T27),IF(WBS!$L27="Done",3,IF(WBS!$L27="Doing",2,IF(WBS!$L27="Blocked",4,IF(WBS!$L27="Deferred",5,1)))),""))</f>
        <v/>
      </c>
      <c r="I27" s="58">
        <f>IF(OR(WBS!$F27="",WBS!$T27=""),"",IF(AND(4&gt;=WBS!$F27,4&lt;=WBS!$T27),IF(WBS!$L27="Done",3,IF(WBS!$L27="Doing",2,IF(WBS!$L27="Blocked",4,IF(WBS!$L27="Deferred",5,1)))),""))</f>
        <v>1</v>
      </c>
      <c r="J27" s="58">
        <f>IF(OR(WBS!$F27="",WBS!$T27=""),"",IF(AND(5&gt;=WBS!$F27,5&lt;=WBS!$T27),IF(WBS!$L27="Done",3,IF(WBS!$L27="Doing",2,IF(WBS!$L27="Blocked",4,IF(WBS!$L27="Deferred",5,1)))),""))</f>
        <v>1</v>
      </c>
      <c r="K27" s="58" t="str">
        <f>IF(OR(WBS!$F27="",WBS!$T27=""),"",IF(AND(6&gt;=WBS!$F27,6&lt;=WBS!$T27),IF(WBS!$L27="Done",3,IF(WBS!$L27="Doing",2,IF(WBS!$L27="Blocked",4,IF(WBS!$L27="Deferred",5,1)))),""))</f>
        <v/>
      </c>
      <c r="L27" s="58" t="str">
        <f>IF(OR(WBS!$F27="",WBS!$T27=""),"",IF(AND(7&gt;=WBS!$F27,7&lt;=WBS!$T27),IF(WBS!$L27="Done",3,IF(WBS!$L27="Doing",2,IF(WBS!$L27="Blocked",4,IF(WBS!$L27="Deferred",5,1)))),""))</f>
        <v/>
      </c>
      <c r="M27" s="58" t="str">
        <f>IF(OR(WBS!$F27="",WBS!$T27=""),"",IF(AND(8&gt;=WBS!$F27,8&lt;=WBS!$T27),IF(WBS!$L27="Done",3,IF(WBS!$L27="Doing",2,IF(WBS!$L27="Blocked",4,IF(WBS!$L27="Deferred",5,1)))),""))</f>
        <v/>
      </c>
      <c r="N27" s="58" t="str">
        <f>IF(OR(WBS!$F27="",WBS!$T27=""),"",IF(AND(9&gt;=WBS!$F27,9&lt;=WBS!$T27),IF(WBS!$L27="Done",3,IF(WBS!$L27="Doing",2,IF(WBS!$L27="Blocked",4,IF(WBS!$L27="Deferred",5,1)))),""))</f>
        <v/>
      </c>
      <c r="O27" s="58" t="str">
        <f>IF(OR(WBS!$F27="",WBS!$T27=""),"",IF(AND(10&gt;=WBS!$F27,10&lt;=WBS!$T27),IF(WBS!$L27="Done",3,IF(WBS!$L27="Doing",2,IF(WBS!$L27="Blocked",4,IF(WBS!$L27="Deferred",5,1)))),""))</f>
        <v/>
      </c>
      <c r="P27" s="58" t="str">
        <f>IF(OR(WBS!$F27="",WBS!$T27=""),"",IF(AND(11&gt;=WBS!$F27,11&lt;=WBS!$T27),IF(WBS!$L27="Done",3,IF(WBS!$L27="Doing",2,IF(WBS!$L27="Blocked",4,IF(WBS!$L27="Deferred",5,1)))),""))</f>
        <v/>
      </c>
      <c r="Q27" s="58" t="str">
        <f>IF(OR(WBS!$F27="",WBS!$T27=""),"",IF(AND(12&gt;=WBS!$F27,12&lt;=WBS!$T27),IF(WBS!$L27="Done",3,IF(WBS!$L27="Doing",2,IF(WBS!$L27="Blocked",4,IF(WBS!$L27="Deferred",5,1)))),""))</f>
        <v/>
      </c>
      <c r="R27" s="58" t="str">
        <f>IF(OR(WBS!$F27="",WBS!$T27=""),"",IF(AND(13&gt;=WBS!$F27,13&lt;=WBS!$T27),IF(WBS!$L27="Done",3,IF(WBS!$L27="Doing",2,IF(WBS!$L27="Blocked",4,IF(WBS!$L27="Deferred",5,1)))),""))</f>
        <v/>
      </c>
      <c r="S27" s="58" t="str">
        <f>IF(OR(WBS!$F27="",WBS!$T27=""),"",IF(AND(14&gt;=WBS!$F27,14&lt;=WBS!$T27),IF(WBS!$L27="Done",3,IF(WBS!$L27="Doing",2,IF(WBS!$L27="Blocked",4,IF(WBS!$L27="Deferred",5,1)))),""))</f>
        <v/>
      </c>
      <c r="T27" s="58" t="str">
        <f>IF(OR(WBS!$F27="",WBS!$T27=""),"",IF(AND(15&gt;=WBS!$F27,15&lt;=WBS!$T27),IF(WBS!$L27="Done",3,IF(WBS!$L27="Doing",2,IF(WBS!$L27="Blocked",4,IF(WBS!$L27="Deferred",5,1)))),""))</f>
        <v/>
      </c>
      <c r="U27" s="58" t="str">
        <f>IF(OR(WBS!$F27="",WBS!$T27=""),"",IF(AND(16&gt;=WBS!$F27,16&lt;=WBS!$T27),IF(WBS!$L27="Done",3,IF(WBS!$L27="Doing",2,IF(WBS!$L27="Blocked",4,IF(WBS!$L27="Deferred",5,1)))),""))</f>
        <v/>
      </c>
      <c r="V27" s="58" t="str">
        <f>IF(OR(WBS!$F27="",WBS!$T27=""),"",IF(AND(17&gt;=WBS!$F27,17&lt;=WBS!$T27),IF(WBS!$L27="Done",3,IF(WBS!$L27="Doing",2,IF(WBS!$L27="Blocked",4,IF(WBS!$L27="Deferred",5,1)))),""))</f>
        <v/>
      </c>
      <c r="W27" s="58" t="str">
        <f>IF(OR(WBS!$F27="",WBS!$T27=""),"",IF(AND(18&gt;=WBS!$F27,18&lt;=WBS!$T27),IF(WBS!$L27="Done",3,IF(WBS!$L27="Doing",2,IF(WBS!$L27="Blocked",4,IF(WBS!$L27="Deferred",5,1)))),""))</f>
        <v/>
      </c>
      <c r="X27" s="58" t="str">
        <f>IF(OR(WBS!$F27="",WBS!$T27=""),"",IF(AND(19&gt;=WBS!$F27,19&lt;=WBS!$T27),IF(WBS!$L27="Done",3,IF(WBS!$L27="Doing",2,IF(WBS!$L27="Blocked",4,IF(WBS!$L27="Deferred",5,1)))),""))</f>
        <v/>
      </c>
      <c r="Y27" s="58" t="str">
        <f>IF(OR(WBS!$F27="",WBS!$T27=""),"",IF(AND(20&gt;=WBS!$F27,20&lt;=WBS!$T27),IF(WBS!$L27="Done",3,IF(WBS!$L27="Doing",2,IF(WBS!$L27="Blocked",4,IF(WBS!$L27="Deferred",5,1)))),""))</f>
        <v/>
      </c>
      <c r="Z27" s="58" t="str">
        <f>IF(OR(WBS!$F27="",WBS!$T27=""),"",IF(AND(21&gt;=WBS!$F27,21&lt;=WBS!$T27),IF(WBS!$L27="Done",3,IF(WBS!$L27="Doing",2,IF(WBS!$L27="Blocked",4,IF(WBS!$L27="Deferred",5,1)))),""))</f>
        <v/>
      </c>
    </row>
    <row r="28" spans="1:26" x14ac:dyDescent="0.3">
      <c r="A28" s="59" t="str">
        <f>WBS!$A28</f>
        <v>2.1</v>
      </c>
      <c r="B28" s="60" t="str">
        <f>WBS!$C28</f>
        <v xml:space="preserve">    Domain design</v>
      </c>
      <c r="C28" s="61" t="str">
        <f>IF(WBS!$E28="","",WBS!$E28)</f>
        <v/>
      </c>
      <c r="D28" s="62">
        <f>WBS!$J28</f>
        <v>5</v>
      </c>
      <c r="E28" s="63">
        <f>WBS!$M28</f>
        <v>0</v>
      </c>
      <c r="F28" s="58" t="str">
        <f>IF(OR(WBS!$F28="",WBS!$T28=""),"",IF(AND(1&gt;=WBS!$F28,1&lt;=WBS!$T28),IF(WBS!$L28="Done",3,IF(WBS!$L28="Doing",2,IF(WBS!$L28="Blocked",4,IF(WBS!$L28="Deferred",5,1)))),""))</f>
        <v/>
      </c>
      <c r="G28" s="58" t="str">
        <f>IF(OR(WBS!$F28="",WBS!$T28=""),"",IF(AND(2&gt;=WBS!$F28,2&lt;=WBS!$T28),IF(WBS!$L28="Done",3,IF(WBS!$L28="Doing",2,IF(WBS!$L28="Blocked",4,IF(WBS!$L28="Deferred",5,1)))),""))</f>
        <v/>
      </c>
      <c r="H28" s="58" t="str">
        <f>IF(OR(WBS!$F28="",WBS!$T28=""),"",IF(AND(3&gt;=WBS!$F28,3&lt;=WBS!$T28),IF(WBS!$L28="Done",3,IF(WBS!$L28="Doing",2,IF(WBS!$L28="Blocked",4,IF(WBS!$L28="Deferred",5,1)))),""))</f>
        <v/>
      </c>
      <c r="I28" s="58">
        <f>IF(OR(WBS!$F28="",WBS!$T28=""),"",IF(AND(4&gt;=WBS!$F28,4&lt;=WBS!$T28),IF(WBS!$L28="Done",3,IF(WBS!$L28="Doing",2,IF(WBS!$L28="Blocked",4,IF(WBS!$L28="Deferred",5,1)))),""))</f>
        <v>1</v>
      </c>
      <c r="J28" s="58" t="str">
        <f>IF(OR(WBS!$F28="",WBS!$T28=""),"",IF(AND(5&gt;=WBS!$F28,5&lt;=WBS!$T28),IF(WBS!$L28="Done",3,IF(WBS!$L28="Doing",2,IF(WBS!$L28="Blocked",4,IF(WBS!$L28="Deferred",5,1)))),""))</f>
        <v/>
      </c>
      <c r="K28" s="58" t="str">
        <f>IF(OR(WBS!$F28="",WBS!$T28=""),"",IF(AND(6&gt;=WBS!$F28,6&lt;=WBS!$T28),IF(WBS!$L28="Done",3,IF(WBS!$L28="Doing",2,IF(WBS!$L28="Blocked",4,IF(WBS!$L28="Deferred",5,1)))),""))</f>
        <v/>
      </c>
      <c r="L28" s="58" t="str">
        <f>IF(OR(WBS!$F28="",WBS!$T28=""),"",IF(AND(7&gt;=WBS!$F28,7&lt;=WBS!$T28),IF(WBS!$L28="Done",3,IF(WBS!$L28="Doing",2,IF(WBS!$L28="Blocked",4,IF(WBS!$L28="Deferred",5,1)))),""))</f>
        <v/>
      </c>
      <c r="M28" s="58" t="str">
        <f>IF(OR(WBS!$F28="",WBS!$T28=""),"",IF(AND(8&gt;=WBS!$F28,8&lt;=WBS!$T28),IF(WBS!$L28="Done",3,IF(WBS!$L28="Doing",2,IF(WBS!$L28="Blocked",4,IF(WBS!$L28="Deferred",5,1)))),""))</f>
        <v/>
      </c>
      <c r="N28" s="58" t="str">
        <f>IF(OR(WBS!$F28="",WBS!$T28=""),"",IF(AND(9&gt;=WBS!$F28,9&lt;=WBS!$T28),IF(WBS!$L28="Done",3,IF(WBS!$L28="Doing",2,IF(WBS!$L28="Blocked",4,IF(WBS!$L28="Deferred",5,1)))),""))</f>
        <v/>
      </c>
      <c r="O28" s="58" t="str">
        <f>IF(OR(WBS!$F28="",WBS!$T28=""),"",IF(AND(10&gt;=WBS!$F28,10&lt;=WBS!$T28),IF(WBS!$L28="Done",3,IF(WBS!$L28="Doing",2,IF(WBS!$L28="Blocked",4,IF(WBS!$L28="Deferred",5,1)))),""))</f>
        <v/>
      </c>
      <c r="P28" s="58" t="str">
        <f>IF(OR(WBS!$F28="",WBS!$T28=""),"",IF(AND(11&gt;=WBS!$F28,11&lt;=WBS!$T28),IF(WBS!$L28="Done",3,IF(WBS!$L28="Doing",2,IF(WBS!$L28="Blocked",4,IF(WBS!$L28="Deferred",5,1)))),""))</f>
        <v/>
      </c>
      <c r="Q28" s="58" t="str">
        <f>IF(OR(WBS!$F28="",WBS!$T28=""),"",IF(AND(12&gt;=WBS!$F28,12&lt;=WBS!$T28),IF(WBS!$L28="Done",3,IF(WBS!$L28="Doing",2,IF(WBS!$L28="Blocked",4,IF(WBS!$L28="Deferred",5,1)))),""))</f>
        <v/>
      </c>
      <c r="R28" s="58" t="str">
        <f>IF(OR(WBS!$F28="",WBS!$T28=""),"",IF(AND(13&gt;=WBS!$F28,13&lt;=WBS!$T28),IF(WBS!$L28="Done",3,IF(WBS!$L28="Doing",2,IF(WBS!$L28="Blocked",4,IF(WBS!$L28="Deferred",5,1)))),""))</f>
        <v/>
      </c>
      <c r="S28" s="58" t="str">
        <f>IF(OR(WBS!$F28="",WBS!$T28=""),"",IF(AND(14&gt;=WBS!$F28,14&lt;=WBS!$T28),IF(WBS!$L28="Done",3,IF(WBS!$L28="Doing",2,IF(WBS!$L28="Blocked",4,IF(WBS!$L28="Deferred",5,1)))),""))</f>
        <v/>
      </c>
      <c r="T28" s="58" t="str">
        <f>IF(OR(WBS!$F28="",WBS!$T28=""),"",IF(AND(15&gt;=WBS!$F28,15&lt;=WBS!$T28),IF(WBS!$L28="Done",3,IF(WBS!$L28="Doing",2,IF(WBS!$L28="Blocked",4,IF(WBS!$L28="Deferred",5,1)))),""))</f>
        <v/>
      </c>
      <c r="U28" s="58" t="str">
        <f>IF(OR(WBS!$F28="",WBS!$T28=""),"",IF(AND(16&gt;=WBS!$F28,16&lt;=WBS!$T28),IF(WBS!$L28="Done",3,IF(WBS!$L28="Doing",2,IF(WBS!$L28="Blocked",4,IF(WBS!$L28="Deferred",5,1)))),""))</f>
        <v/>
      </c>
      <c r="V28" s="58" t="str">
        <f>IF(OR(WBS!$F28="",WBS!$T28=""),"",IF(AND(17&gt;=WBS!$F28,17&lt;=WBS!$T28),IF(WBS!$L28="Done",3,IF(WBS!$L28="Doing",2,IF(WBS!$L28="Blocked",4,IF(WBS!$L28="Deferred",5,1)))),""))</f>
        <v/>
      </c>
      <c r="W28" s="58" t="str">
        <f>IF(OR(WBS!$F28="",WBS!$T28=""),"",IF(AND(18&gt;=WBS!$F28,18&lt;=WBS!$T28),IF(WBS!$L28="Done",3,IF(WBS!$L28="Doing",2,IF(WBS!$L28="Blocked",4,IF(WBS!$L28="Deferred",5,1)))),""))</f>
        <v/>
      </c>
      <c r="X28" s="58" t="str">
        <f>IF(OR(WBS!$F28="",WBS!$T28=""),"",IF(AND(19&gt;=WBS!$F28,19&lt;=WBS!$T28),IF(WBS!$L28="Done",3,IF(WBS!$L28="Doing",2,IF(WBS!$L28="Blocked",4,IF(WBS!$L28="Deferred",5,1)))),""))</f>
        <v/>
      </c>
      <c r="Y28" s="58" t="str">
        <f>IF(OR(WBS!$F28="",WBS!$T28=""),"",IF(AND(20&gt;=WBS!$F28,20&lt;=WBS!$T28),IF(WBS!$L28="Done",3,IF(WBS!$L28="Doing",2,IF(WBS!$L28="Blocked",4,IF(WBS!$L28="Deferred",5,1)))),""))</f>
        <v/>
      </c>
      <c r="Z28" s="58" t="str">
        <f>IF(OR(WBS!$F28="",WBS!$T28=""),"",IF(AND(21&gt;=WBS!$F28,21&lt;=WBS!$T28),IF(WBS!$L28="Done",3,IF(WBS!$L28="Doing",2,IF(WBS!$L28="Blocked",4,IF(WBS!$L28="Deferred",5,1)))),""))</f>
        <v/>
      </c>
    </row>
    <row r="29" spans="1:26" x14ac:dyDescent="0.3">
      <c r="A29" s="64" t="str">
        <f>WBS!$A29</f>
        <v>2.1.1</v>
      </c>
      <c r="B29" s="65" t="str">
        <f>WBS!$C29</f>
        <v xml:space="preserve">        Domain model - network, timetable versions, service calendars</v>
      </c>
      <c r="C29" s="66" t="str">
        <f>IF(WBS!$E29="","",WBS!$E29)</f>
        <v>ARCH</v>
      </c>
      <c r="D29" s="67">
        <f>WBS!$J29</f>
        <v>3</v>
      </c>
      <c r="E29" s="68">
        <f>WBS!$M29</f>
        <v>0</v>
      </c>
      <c r="F29" s="58" t="str">
        <f>IF(OR(WBS!$F29="",WBS!$T29=""),"",IF(AND(1&gt;=WBS!$F29,1&lt;=WBS!$T29),IF(WBS!$L29="Done",3,IF(WBS!$L29="Doing",2,IF(WBS!$L29="Blocked",4,IF(WBS!$L29="Deferred",5,1)))),""))</f>
        <v/>
      </c>
      <c r="G29" s="58" t="str">
        <f>IF(OR(WBS!$F29="",WBS!$T29=""),"",IF(AND(2&gt;=WBS!$F29,2&lt;=WBS!$T29),IF(WBS!$L29="Done",3,IF(WBS!$L29="Doing",2,IF(WBS!$L29="Blocked",4,IF(WBS!$L29="Deferred",5,1)))),""))</f>
        <v/>
      </c>
      <c r="H29" s="58" t="str">
        <f>IF(OR(WBS!$F29="",WBS!$T29=""),"",IF(AND(3&gt;=WBS!$F29,3&lt;=WBS!$T29),IF(WBS!$L29="Done",3,IF(WBS!$L29="Doing",2,IF(WBS!$L29="Blocked",4,IF(WBS!$L29="Deferred",5,1)))),""))</f>
        <v/>
      </c>
      <c r="I29" s="58">
        <f>IF(OR(WBS!$F29="",WBS!$T29=""),"",IF(AND(4&gt;=WBS!$F29,4&lt;=WBS!$T29),IF(WBS!$L29="Done",3,IF(WBS!$L29="Doing",2,IF(WBS!$L29="Blocked",4,IF(WBS!$L29="Deferred",5,1)))),""))</f>
        <v>1</v>
      </c>
      <c r="J29" s="58" t="str">
        <f>IF(OR(WBS!$F29="",WBS!$T29=""),"",IF(AND(5&gt;=WBS!$F29,5&lt;=WBS!$T29),IF(WBS!$L29="Done",3,IF(WBS!$L29="Doing",2,IF(WBS!$L29="Blocked",4,IF(WBS!$L29="Deferred",5,1)))),""))</f>
        <v/>
      </c>
      <c r="K29" s="58" t="str">
        <f>IF(OR(WBS!$F29="",WBS!$T29=""),"",IF(AND(6&gt;=WBS!$F29,6&lt;=WBS!$T29),IF(WBS!$L29="Done",3,IF(WBS!$L29="Doing",2,IF(WBS!$L29="Blocked",4,IF(WBS!$L29="Deferred",5,1)))),""))</f>
        <v/>
      </c>
      <c r="L29" s="58" t="str">
        <f>IF(OR(WBS!$F29="",WBS!$T29=""),"",IF(AND(7&gt;=WBS!$F29,7&lt;=WBS!$T29),IF(WBS!$L29="Done",3,IF(WBS!$L29="Doing",2,IF(WBS!$L29="Blocked",4,IF(WBS!$L29="Deferred",5,1)))),""))</f>
        <v/>
      </c>
      <c r="M29" s="58" t="str">
        <f>IF(OR(WBS!$F29="",WBS!$T29=""),"",IF(AND(8&gt;=WBS!$F29,8&lt;=WBS!$T29),IF(WBS!$L29="Done",3,IF(WBS!$L29="Doing",2,IF(WBS!$L29="Blocked",4,IF(WBS!$L29="Deferred",5,1)))),""))</f>
        <v/>
      </c>
      <c r="N29" s="58" t="str">
        <f>IF(OR(WBS!$F29="",WBS!$T29=""),"",IF(AND(9&gt;=WBS!$F29,9&lt;=WBS!$T29),IF(WBS!$L29="Done",3,IF(WBS!$L29="Doing",2,IF(WBS!$L29="Blocked",4,IF(WBS!$L29="Deferred",5,1)))),""))</f>
        <v/>
      </c>
      <c r="O29" s="58" t="str">
        <f>IF(OR(WBS!$F29="",WBS!$T29=""),"",IF(AND(10&gt;=WBS!$F29,10&lt;=WBS!$T29),IF(WBS!$L29="Done",3,IF(WBS!$L29="Doing",2,IF(WBS!$L29="Blocked",4,IF(WBS!$L29="Deferred",5,1)))),""))</f>
        <v/>
      </c>
      <c r="P29" s="58" t="str">
        <f>IF(OR(WBS!$F29="",WBS!$T29=""),"",IF(AND(11&gt;=WBS!$F29,11&lt;=WBS!$T29),IF(WBS!$L29="Done",3,IF(WBS!$L29="Doing",2,IF(WBS!$L29="Blocked",4,IF(WBS!$L29="Deferred",5,1)))),""))</f>
        <v/>
      </c>
      <c r="Q29" s="58" t="str">
        <f>IF(OR(WBS!$F29="",WBS!$T29=""),"",IF(AND(12&gt;=WBS!$F29,12&lt;=WBS!$T29),IF(WBS!$L29="Done",3,IF(WBS!$L29="Doing",2,IF(WBS!$L29="Blocked",4,IF(WBS!$L29="Deferred",5,1)))),""))</f>
        <v/>
      </c>
      <c r="R29" s="58" t="str">
        <f>IF(OR(WBS!$F29="",WBS!$T29=""),"",IF(AND(13&gt;=WBS!$F29,13&lt;=WBS!$T29),IF(WBS!$L29="Done",3,IF(WBS!$L29="Doing",2,IF(WBS!$L29="Blocked",4,IF(WBS!$L29="Deferred",5,1)))),""))</f>
        <v/>
      </c>
      <c r="S29" s="58" t="str">
        <f>IF(OR(WBS!$F29="",WBS!$T29=""),"",IF(AND(14&gt;=WBS!$F29,14&lt;=WBS!$T29),IF(WBS!$L29="Done",3,IF(WBS!$L29="Doing",2,IF(WBS!$L29="Blocked",4,IF(WBS!$L29="Deferred",5,1)))),""))</f>
        <v/>
      </c>
      <c r="T29" s="58" t="str">
        <f>IF(OR(WBS!$F29="",WBS!$T29=""),"",IF(AND(15&gt;=WBS!$F29,15&lt;=WBS!$T29),IF(WBS!$L29="Done",3,IF(WBS!$L29="Doing",2,IF(WBS!$L29="Blocked",4,IF(WBS!$L29="Deferred",5,1)))),""))</f>
        <v/>
      </c>
      <c r="U29" s="58" t="str">
        <f>IF(OR(WBS!$F29="",WBS!$T29=""),"",IF(AND(16&gt;=WBS!$F29,16&lt;=WBS!$T29),IF(WBS!$L29="Done",3,IF(WBS!$L29="Doing",2,IF(WBS!$L29="Blocked",4,IF(WBS!$L29="Deferred",5,1)))),""))</f>
        <v/>
      </c>
      <c r="V29" s="58" t="str">
        <f>IF(OR(WBS!$F29="",WBS!$T29=""),"",IF(AND(17&gt;=WBS!$F29,17&lt;=WBS!$T29),IF(WBS!$L29="Done",3,IF(WBS!$L29="Doing",2,IF(WBS!$L29="Blocked",4,IF(WBS!$L29="Deferred",5,1)))),""))</f>
        <v/>
      </c>
      <c r="W29" s="58" t="str">
        <f>IF(OR(WBS!$F29="",WBS!$T29=""),"",IF(AND(18&gt;=WBS!$F29,18&lt;=WBS!$T29),IF(WBS!$L29="Done",3,IF(WBS!$L29="Doing",2,IF(WBS!$L29="Blocked",4,IF(WBS!$L29="Deferred",5,1)))),""))</f>
        <v/>
      </c>
      <c r="X29" s="58" t="str">
        <f>IF(OR(WBS!$F29="",WBS!$T29=""),"",IF(AND(19&gt;=WBS!$F29,19&lt;=WBS!$T29),IF(WBS!$L29="Done",3,IF(WBS!$L29="Doing",2,IF(WBS!$L29="Blocked",4,IF(WBS!$L29="Deferred",5,1)))),""))</f>
        <v/>
      </c>
      <c r="Y29" s="58" t="str">
        <f>IF(OR(WBS!$F29="",WBS!$T29=""),"",IF(AND(20&gt;=WBS!$F29,20&lt;=WBS!$T29),IF(WBS!$L29="Done",3,IF(WBS!$L29="Doing",2,IF(WBS!$L29="Blocked",4,IF(WBS!$L29="Deferred",5,1)))),""))</f>
        <v/>
      </c>
      <c r="Z29" s="58" t="str">
        <f>IF(OR(WBS!$F29="",WBS!$T29=""),"",IF(AND(21&gt;=WBS!$F29,21&lt;=WBS!$T29),IF(WBS!$L29="Done",3,IF(WBS!$L29="Doing",2,IF(WBS!$L29="Blocked",4,IF(WBS!$L29="Deferred",5,1)))),""))</f>
        <v/>
      </c>
    </row>
    <row r="30" spans="1:26" x14ac:dyDescent="0.3">
      <c r="A30" s="64" t="str">
        <f>WBS!$A30</f>
        <v>2.1.2</v>
      </c>
      <c r="B30" s="65" t="str">
        <f>WBS!$C30</f>
        <v xml:space="preserve">        Journey state machine including Unknown and TerminatedShort</v>
      </c>
      <c r="C30" s="66" t="str">
        <f>IF(WBS!$E30="","",WBS!$E30)</f>
        <v>ARCH</v>
      </c>
      <c r="D30" s="67">
        <f>WBS!$J30</f>
        <v>2</v>
      </c>
      <c r="E30" s="68">
        <f>WBS!$M30</f>
        <v>0</v>
      </c>
      <c r="F30" s="58" t="str">
        <f>IF(OR(WBS!$F30="",WBS!$T30=""),"",IF(AND(1&gt;=WBS!$F30,1&lt;=WBS!$T30),IF(WBS!$L30="Done",3,IF(WBS!$L30="Doing",2,IF(WBS!$L30="Blocked",4,IF(WBS!$L30="Deferred",5,1)))),""))</f>
        <v/>
      </c>
      <c r="G30" s="58" t="str">
        <f>IF(OR(WBS!$F30="",WBS!$T30=""),"",IF(AND(2&gt;=WBS!$F30,2&lt;=WBS!$T30),IF(WBS!$L30="Done",3,IF(WBS!$L30="Doing",2,IF(WBS!$L30="Blocked",4,IF(WBS!$L30="Deferred",5,1)))),""))</f>
        <v/>
      </c>
      <c r="H30" s="58" t="str">
        <f>IF(OR(WBS!$F30="",WBS!$T30=""),"",IF(AND(3&gt;=WBS!$F30,3&lt;=WBS!$T30),IF(WBS!$L30="Done",3,IF(WBS!$L30="Doing",2,IF(WBS!$L30="Blocked",4,IF(WBS!$L30="Deferred",5,1)))),""))</f>
        <v/>
      </c>
      <c r="I30" s="58">
        <f>IF(OR(WBS!$F30="",WBS!$T30=""),"",IF(AND(4&gt;=WBS!$F30,4&lt;=WBS!$T30),IF(WBS!$L30="Done",3,IF(WBS!$L30="Doing",2,IF(WBS!$L30="Blocked",4,IF(WBS!$L30="Deferred",5,1)))),""))</f>
        <v>1</v>
      </c>
      <c r="J30" s="58" t="str">
        <f>IF(OR(WBS!$F30="",WBS!$T30=""),"",IF(AND(5&gt;=WBS!$F30,5&lt;=WBS!$T30),IF(WBS!$L30="Done",3,IF(WBS!$L30="Doing",2,IF(WBS!$L30="Blocked",4,IF(WBS!$L30="Deferred",5,1)))),""))</f>
        <v/>
      </c>
      <c r="K30" s="58" t="str">
        <f>IF(OR(WBS!$F30="",WBS!$T30=""),"",IF(AND(6&gt;=WBS!$F30,6&lt;=WBS!$T30),IF(WBS!$L30="Done",3,IF(WBS!$L30="Doing",2,IF(WBS!$L30="Blocked",4,IF(WBS!$L30="Deferred",5,1)))),""))</f>
        <v/>
      </c>
      <c r="L30" s="58" t="str">
        <f>IF(OR(WBS!$F30="",WBS!$T30=""),"",IF(AND(7&gt;=WBS!$F30,7&lt;=WBS!$T30),IF(WBS!$L30="Done",3,IF(WBS!$L30="Doing",2,IF(WBS!$L30="Blocked",4,IF(WBS!$L30="Deferred",5,1)))),""))</f>
        <v/>
      </c>
      <c r="M30" s="58" t="str">
        <f>IF(OR(WBS!$F30="",WBS!$T30=""),"",IF(AND(8&gt;=WBS!$F30,8&lt;=WBS!$T30),IF(WBS!$L30="Done",3,IF(WBS!$L30="Doing",2,IF(WBS!$L30="Blocked",4,IF(WBS!$L30="Deferred",5,1)))),""))</f>
        <v/>
      </c>
      <c r="N30" s="58" t="str">
        <f>IF(OR(WBS!$F30="",WBS!$T30=""),"",IF(AND(9&gt;=WBS!$F30,9&lt;=WBS!$T30),IF(WBS!$L30="Done",3,IF(WBS!$L30="Doing",2,IF(WBS!$L30="Blocked",4,IF(WBS!$L30="Deferred",5,1)))),""))</f>
        <v/>
      </c>
      <c r="O30" s="58" t="str">
        <f>IF(OR(WBS!$F30="",WBS!$T30=""),"",IF(AND(10&gt;=WBS!$F30,10&lt;=WBS!$T30),IF(WBS!$L30="Done",3,IF(WBS!$L30="Doing",2,IF(WBS!$L30="Blocked",4,IF(WBS!$L30="Deferred",5,1)))),""))</f>
        <v/>
      </c>
      <c r="P30" s="58" t="str">
        <f>IF(OR(WBS!$F30="",WBS!$T30=""),"",IF(AND(11&gt;=WBS!$F30,11&lt;=WBS!$T30),IF(WBS!$L30="Done",3,IF(WBS!$L30="Doing",2,IF(WBS!$L30="Blocked",4,IF(WBS!$L30="Deferred",5,1)))),""))</f>
        <v/>
      </c>
      <c r="Q30" s="58" t="str">
        <f>IF(OR(WBS!$F30="",WBS!$T30=""),"",IF(AND(12&gt;=WBS!$F30,12&lt;=WBS!$T30),IF(WBS!$L30="Done",3,IF(WBS!$L30="Doing",2,IF(WBS!$L30="Blocked",4,IF(WBS!$L30="Deferred",5,1)))),""))</f>
        <v/>
      </c>
      <c r="R30" s="58" t="str">
        <f>IF(OR(WBS!$F30="",WBS!$T30=""),"",IF(AND(13&gt;=WBS!$F30,13&lt;=WBS!$T30),IF(WBS!$L30="Done",3,IF(WBS!$L30="Doing",2,IF(WBS!$L30="Blocked",4,IF(WBS!$L30="Deferred",5,1)))),""))</f>
        <v/>
      </c>
      <c r="S30" s="58" t="str">
        <f>IF(OR(WBS!$F30="",WBS!$T30=""),"",IF(AND(14&gt;=WBS!$F30,14&lt;=WBS!$T30),IF(WBS!$L30="Done",3,IF(WBS!$L30="Doing",2,IF(WBS!$L30="Blocked",4,IF(WBS!$L30="Deferred",5,1)))),""))</f>
        <v/>
      </c>
      <c r="T30" s="58" t="str">
        <f>IF(OR(WBS!$F30="",WBS!$T30=""),"",IF(AND(15&gt;=WBS!$F30,15&lt;=WBS!$T30),IF(WBS!$L30="Done",3,IF(WBS!$L30="Doing",2,IF(WBS!$L30="Blocked",4,IF(WBS!$L30="Deferred",5,1)))),""))</f>
        <v/>
      </c>
      <c r="U30" s="58" t="str">
        <f>IF(OR(WBS!$F30="",WBS!$T30=""),"",IF(AND(16&gt;=WBS!$F30,16&lt;=WBS!$T30),IF(WBS!$L30="Done",3,IF(WBS!$L30="Doing",2,IF(WBS!$L30="Blocked",4,IF(WBS!$L30="Deferred",5,1)))),""))</f>
        <v/>
      </c>
      <c r="V30" s="58" t="str">
        <f>IF(OR(WBS!$F30="",WBS!$T30=""),"",IF(AND(17&gt;=WBS!$F30,17&lt;=WBS!$T30),IF(WBS!$L30="Done",3,IF(WBS!$L30="Doing",2,IF(WBS!$L30="Blocked",4,IF(WBS!$L30="Deferred",5,1)))),""))</f>
        <v/>
      </c>
      <c r="W30" s="58" t="str">
        <f>IF(OR(WBS!$F30="",WBS!$T30=""),"",IF(AND(18&gt;=WBS!$F30,18&lt;=WBS!$T30),IF(WBS!$L30="Done",3,IF(WBS!$L30="Doing",2,IF(WBS!$L30="Blocked",4,IF(WBS!$L30="Deferred",5,1)))),""))</f>
        <v/>
      </c>
      <c r="X30" s="58" t="str">
        <f>IF(OR(WBS!$F30="",WBS!$T30=""),"",IF(AND(19&gt;=WBS!$F30,19&lt;=WBS!$T30),IF(WBS!$L30="Done",3,IF(WBS!$L30="Doing",2,IF(WBS!$L30="Blocked",4,IF(WBS!$L30="Deferred",5,1)))),""))</f>
        <v/>
      </c>
      <c r="Y30" s="58" t="str">
        <f>IF(OR(WBS!$F30="",WBS!$T30=""),"",IF(AND(20&gt;=WBS!$F30,20&lt;=WBS!$T30),IF(WBS!$L30="Done",3,IF(WBS!$L30="Doing",2,IF(WBS!$L30="Blocked",4,IF(WBS!$L30="Deferred",5,1)))),""))</f>
        <v/>
      </c>
      <c r="Z30" s="58" t="str">
        <f>IF(OR(WBS!$F30="",WBS!$T30=""),"",IF(AND(21&gt;=WBS!$F30,21&lt;=WBS!$T30),IF(WBS!$L30="Done",3,IF(WBS!$L30="Doing",2,IF(WBS!$L30="Blocked",4,IF(WBS!$L30="Deferred",5,1)))),""))</f>
        <v/>
      </c>
    </row>
    <row r="31" spans="1:26" x14ac:dyDescent="0.3">
      <c r="A31" s="59" t="str">
        <f>WBS!$A31</f>
        <v>2.2</v>
      </c>
      <c r="B31" s="60" t="str">
        <f>WBS!$C31</f>
        <v xml:space="preserve">    Architecture decisions</v>
      </c>
      <c r="C31" s="61" t="str">
        <f>IF(WBS!$E31="","",WBS!$E31)</f>
        <v/>
      </c>
      <c r="D31" s="62">
        <f>WBS!$J31</f>
        <v>3</v>
      </c>
      <c r="E31" s="63">
        <f>WBS!$M31</f>
        <v>0</v>
      </c>
      <c r="F31" s="58" t="str">
        <f>IF(OR(WBS!$F31="",WBS!$T31=""),"",IF(AND(1&gt;=WBS!$F31,1&lt;=WBS!$T31),IF(WBS!$L31="Done",3,IF(WBS!$L31="Doing",2,IF(WBS!$L31="Blocked",4,IF(WBS!$L31="Deferred",5,1)))),""))</f>
        <v/>
      </c>
      <c r="G31" s="58" t="str">
        <f>IF(OR(WBS!$F31="",WBS!$T31=""),"",IF(AND(2&gt;=WBS!$F31,2&lt;=WBS!$T31),IF(WBS!$L31="Done",3,IF(WBS!$L31="Doing",2,IF(WBS!$L31="Blocked",4,IF(WBS!$L31="Deferred",5,1)))),""))</f>
        <v/>
      </c>
      <c r="H31" s="58" t="str">
        <f>IF(OR(WBS!$F31="",WBS!$T31=""),"",IF(AND(3&gt;=WBS!$F31,3&lt;=WBS!$T31),IF(WBS!$L31="Done",3,IF(WBS!$L31="Doing",2,IF(WBS!$L31="Blocked",4,IF(WBS!$L31="Deferred",5,1)))),""))</f>
        <v/>
      </c>
      <c r="I31" s="58">
        <f>IF(OR(WBS!$F31="",WBS!$T31=""),"",IF(AND(4&gt;=WBS!$F31,4&lt;=WBS!$T31),IF(WBS!$L31="Done",3,IF(WBS!$L31="Doing",2,IF(WBS!$L31="Blocked",4,IF(WBS!$L31="Deferred",5,1)))),""))</f>
        <v>1</v>
      </c>
      <c r="J31" s="58" t="str">
        <f>IF(OR(WBS!$F31="",WBS!$T31=""),"",IF(AND(5&gt;=WBS!$F31,5&lt;=WBS!$T31),IF(WBS!$L31="Done",3,IF(WBS!$L31="Doing",2,IF(WBS!$L31="Blocked",4,IF(WBS!$L31="Deferred",5,1)))),""))</f>
        <v/>
      </c>
      <c r="K31" s="58" t="str">
        <f>IF(OR(WBS!$F31="",WBS!$T31=""),"",IF(AND(6&gt;=WBS!$F31,6&lt;=WBS!$T31),IF(WBS!$L31="Done",3,IF(WBS!$L31="Doing",2,IF(WBS!$L31="Blocked",4,IF(WBS!$L31="Deferred",5,1)))),""))</f>
        <v/>
      </c>
      <c r="L31" s="58" t="str">
        <f>IF(OR(WBS!$F31="",WBS!$T31=""),"",IF(AND(7&gt;=WBS!$F31,7&lt;=WBS!$T31),IF(WBS!$L31="Done",3,IF(WBS!$L31="Doing",2,IF(WBS!$L31="Blocked",4,IF(WBS!$L31="Deferred",5,1)))),""))</f>
        <v/>
      </c>
      <c r="M31" s="58" t="str">
        <f>IF(OR(WBS!$F31="",WBS!$T31=""),"",IF(AND(8&gt;=WBS!$F31,8&lt;=WBS!$T31),IF(WBS!$L31="Done",3,IF(WBS!$L31="Doing",2,IF(WBS!$L31="Blocked",4,IF(WBS!$L31="Deferred",5,1)))),""))</f>
        <v/>
      </c>
      <c r="N31" s="58" t="str">
        <f>IF(OR(WBS!$F31="",WBS!$T31=""),"",IF(AND(9&gt;=WBS!$F31,9&lt;=WBS!$T31),IF(WBS!$L31="Done",3,IF(WBS!$L31="Doing",2,IF(WBS!$L31="Blocked",4,IF(WBS!$L31="Deferred",5,1)))),""))</f>
        <v/>
      </c>
      <c r="O31" s="58" t="str">
        <f>IF(OR(WBS!$F31="",WBS!$T31=""),"",IF(AND(10&gt;=WBS!$F31,10&lt;=WBS!$T31),IF(WBS!$L31="Done",3,IF(WBS!$L31="Doing",2,IF(WBS!$L31="Blocked",4,IF(WBS!$L31="Deferred",5,1)))),""))</f>
        <v/>
      </c>
      <c r="P31" s="58" t="str">
        <f>IF(OR(WBS!$F31="",WBS!$T31=""),"",IF(AND(11&gt;=WBS!$F31,11&lt;=WBS!$T31),IF(WBS!$L31="Done",3,IF(WBS!$L31="Doing",2,IF(WBS!$L31="Blocked",4,IF(WBS!$L31="Deferred",5,1)))),""))</f>
        <v/>
      </c>
      <c r="Q31" s="58" t="str">
        <f>IF(OR(WBS!$F31="",WBS!$T31=""),"",IF(AND(12&gt;=WBS!$F31,12&lt;=WBS!$T31),IF(WBS!$L31="Done",3,IF(WBS!$L31="Doing",2,IF(WBS!$L31="Blocked",4,IF(WBS!$L31="Deferred",5,1)))),""))</f>
        <v/>
      </c>
      <c r="R31" s="58" t="str">
        <f>IF(OR(WBS!$F31="",WBS!$T31=""),"",IF(AND(13&gt;=WBS!$F31,13&lt;=WBS!$T31),IF(WBS!$L31="Done",3,IF(WBS!$L31="Doing",2,IF(WBS!$L31="Blocked",4,IF(WBS!$L31="Deferred",5,1)))),""))</f>
        <v/>
      </c>
      <c r="S31" s="58" t="str">
        <f>IF(OR(WBS!$F31="",WBS!$T31=""),"",IF(AND(14&gt;=WBS!$F31,14&lt;=WBS!$T31),IF(WBS!$L31="Done",3,IF(WBS!$L31="Doing",2,IF(WBS!$L31="Blocked",4,IF(WBS!$L31="Deferred",5,1)))),""))</f>
        <v/>
      </c>
      <c r="T31" s="58" t="str">
        <f>IF(OR(WBS!$F31="",WBS!$T31=""),"",IF(AND(15&gt;=WBS!$F31,15&lt;=WBS!$T31),IF(WBS!$L31="Done",3,IF(WBS!$L31="Doing",2,IF(WBS!$L31="Blocked",4,IF(WBS!$L31="Deferred",5,1)))),""))</f>
        <v/>
      </c>
      <c r="U31" s="58" t="str">
        <f>IF(OR(WBS!$F31="",WBS!$T31=""),"",IF(AND(16&gt;=WBS!$F31,16&lt;=WBS!$T31),IF(WBS!$L31="Done",3,IF(WBS!$L31="Doing",2,IF(WBS!$L31="Blocked",4,IF(WBS!$L31="Deferred",5,1)))),""))</f>
        <v/>
      </c>
      <c r="V31" s="58" t="str">
        <f>IF(OR(WBS!$F31="",WBS!$T31=""),"",IF(AND(17&gt;=WBS!$F31,17&lt;=WBS!$T31),IF(WBS!$L31="Done",3,IF(WBS!$L31="Doing",2,IF(WBS!$L31="Blocked",4,IF(WBS!$L31="Deferred",5,1)))),""))</f>
        <v/>
      </c>
      <c r="W31" s="58" t="str">
        <f>IF(OR(WBS!$F31="",WBS!$T31=""),"",IF(AND(18&gt;=WBS!$F31,18&lt;=WBS!$T31),IF(WBS!$L31="Done",3,IF(WBS!$L31="Doing",2,IF(WBS!$L31="Blocked",4,IF(WBS!$L31="Deferred",5,1)))),""))</f>
        <v/>
      </c>
      <c r="X31" s="58" t="str">
        <f>IF(OR(WBS!$F31="",WBS!$T31=""),"",IF(AND(19&gt;=WBS!$F31,19&lt;=WBS!$T31),IF(WBS!$L31="Done",3,IF(WBS!$L31="Doing",2,IF(WBS!$L31="Blocked",4,IF(WBS!$L31="Deferred",5,1)))),""))</f>
        <v/>
      </c>
      <c r="Y31" s="58" t="str">
        <f>IF(OR(WBS!$F31="",WBS!$T31=""),"",IF(AND(20&gt;=WBS!$F31,20&lt;=WBS!$T31),IF(WBS!$L31="Done",3,IF(WBS!$L31="Doing",2,IF(WBS!$L31="Blocked",4,IF(WBS!$L31="Deferred",5,1)))),""))</f>
        <v/>
      </c>
      <c r="Z31" s="58" t="str">
        <f>IF(OR(WBS!$F31="",WBS!$T31=""),"",IF(AND(21&gt;=WBS!$F31,21&lt;=WBS!$T31),IF(WBS!$L31="Done",3,IF(WBS!$L31="Doing",2,IF(WBS!$L31="Blocked",4,IF(WBS!$L31="Deferred",5,1)))),""))</f>
        <v/>
      </c>
    </row>
    <row r="32" spans="1:26" x14ac:dyDescent="0.3">
      <c r="A32" s="64" t="str">
        <f>WBS!$A32</f>
        <v>2.2.1</v>
      </c>
      <c r="B32" s="65" t="str">
        <f>WBS!$C32</f>
        <v xml:space="preserve">        Write ADR 0001 to 0008</v>
      </c>
      <c r="C32" s="66" t="str">
        <f>IF(WBS!$E32="","",WBS!$E32)</f>
        <v>ARCH</v>
      </c>
      <c r="D32" s="67">
        <f>WBS!$J32</f>
        <v>2</v>
      </c>
      <c r="E32" s="68">
        <f>WBS!$M32</f>
        <v>0</v>
      </c>
      <c r="F32" s="58" t="str">
        <f>IF(OR(WBS!$F32="",WBS!$T32=""),"",IF(AND(1&gt;=WBS!$F32,1&lt;=WBS!$T32),IF(WBS!$L32="Done",3,IF(WBS!$L32="Doing",2,IF(WBS!$L32="Blocked",4,IF(WBS!$L32="Deferred",5,1)))),""))</f>
        <v/>
      </c>
      <c r="G32" s="58" t="str">
        <f>IF(OR(WBS!$F32="",WBS!$T32=""),"",IF(AND(2&gt;=WBS!$F32,2&lt;=WBS!$T32),IF(WBS!$L32="Done",3,IF(WBS!$L32="Doing",2,IF(WBS!$L32="Blocked",4,IF(WBS!$L32="Deferred",5,1)))),""))</f>
        <v/>
      </c>
      <c r="H32" s="58" t="str">
        <f>IF(OR(WBS!$F32="",WBS!$T32=""),"",IF(AND(3&gt;=WBS!$F32,3&lt;=WBS!$T32),IF(WBS!$L32="Done",3,IF(WBS!$L32="Doing",2,IF(WBS!$L32="Blocked",4,IF(WBS!$L32="Deferred",5,1)))),""))</f>
        <v/>
      </c>
      <c r="I32" s="58">
        <f>IF(OR(WBS!$F32="",WBS!$T32=""),"",IF(AND(4&gt;=WBS!$F32,4&lt;=WBS!$T32),IF(WBS!$L32="Done",3,IF(WBS!$L32="Doing",2,IF(WBS!$L32="Blocked",4,IF(WBS!$L32="Deferred",5,1)))),""))</f>
        <v>1</v>
      </c>
      <c r="J32" s="58" t="str">
        <f>IF(OR(WBS!$F32="",WBS!$T32=""),"",IF(AND(5&gt;=WBS!$F32,5&lt;=WBS!$T32),IF(WBS!$L32="Done",3,IF(WBS!$L32="Doing",2,IF(WBS!$L32="Blocked",4,IF(WBS!$L32="Deferred",5,1)))),""))</f>
        <v/>
      </c>
      <c r="K32" s="58" t="str">
        <f>IF(OR(WBS!$F32="",WBS!$T32=""),"",IF(AND(6&gt;=WBS!$F32,6&lt;=WBS!$T32),IF(WBS!$L32="Done",3,IF(WBS!$L32="Doing",2,IF(WBS!$L32="Blocked",4,IF(WBS!$L32="Deferred",5,1)))),""))</f>
        <v/>
      </c>
      <c r="L32" s="58" t="str">
        <f>IF(OR(WBS!$F32="",WBS!$T32=""),"",IF(AND(7&gt;=WBS!$F32,7&lt;=WBS!$T32),IF(WBS!$L32="Done",3,IF(WBS!$L32="Doing",2,IF(WBS!$L32="Blocked",4,IF(WBS!$L32="Deferred",5,1)))),""))</f>
        <v/>
      </c>
      <c r="M32" s="58" t="str">
        <f>IF(OR(WBS!$F32="",WBS!$T32=""),"",IF(AND(8&gt;=WBS!$F32,8&lt;=WBS!$T32),IF(WBS!$L32="Done",3,IF(WBS!$L32="Doing",2,IF(WBS!$L32="Blocked",4,IF(WBS!$L32="Deferred",5,1)))),""))</f>
        <v/>
      </c>
      <c r="N32" s="58" t="str">
        <f>IF(OR(WBS!$F32="",WBS!$T32=""),"",IF(AND(9&gt;=WBS!$F32,9&lt;=WBS!$T32),IF(WBS!$L32="Done",3,IF(WBS!$L32="Doing",2,IF(WBS!$L32="Blocked",4,IF(WBS!$L32="Deferred",5,1)))),""))</f>
        <v/>
      </c>
      <c r="O32" s="58" t="str">
        <f>IF(OR(WBS!$F32="",WBS!$T32=""),"",IF(AND(10&gt;=WBS!$F32,10&lt;=WBS!$T32),IF(WBS!$L32="Done",3,IF(WBS!$L32="Doing",2,IF(WBS!$L32="Blocked",4,IF(WBS!$L32="Deferred",5,1)))),""))</f>
        <v/>
      </c>
      <c r="P32" s="58" t="str">
        <f>IF(OR(WBS!$F32="",WBS!$T32=""),"",IF(AND(11&gt;=WBS!$F32,11&lt;=WBS!$T32),IF(WBS!$L32="Done",3,IF(WBS!$L32="Doing",2,IF(WBS!$L32="Blocked",4,IF(WBS!$L32="Deferred",5,1)))),""))</f>
        <v/>
      </c>
      <c r="Q32" s="58" t="str">
        <f>IF(OR(WBS!$F32="",WBS!$T32=""),"",IF(AND(12&gt;=WBS!$F32,12&lt;=WBS!$T32),IF(WBS!$L32="Done",3,IF(WBS!$L32="Doing",2,IF(WBS!$L32="Blocked",4,IF(WBS!$L32="Deferred",5,1)))),""))</f>
        <v/>
      </c>
      <c r="R32" s="58" t="str">
        <f>IF(OR(WBS!$F32="",WBS!$T32=""),"",IF(AND(13&gt;=WBS!$F32,13&lt;=WBS!$T32),IF(WBS!$L32="Done",3,IF(WBS!$L32="Doing",2,IF(WBS!$L32="Blocked",4,IF(WBS!$L32="Deferred",5,1)))),""))</f>
        <v/>
      </c>
      <c r="S32" s="58" t="str">
        <f>IF(OR(WBS!$F32="",WBS!$T32=""),"",IF(AND(14&gt;=WBS!$F32,14&lt;=WBS!$T32),IF(WBS!$L32="Done",3,IF(WBS!$L32="Doing",2,IF(WBS!$L32="Blocked",4,IF(WBS!$L32="Deferred",5,1)))),""))</f>
        <v/>
      </c>
      <c r="T32" s="58" t="str">
        <f>IF(OR(WBS!$F32="",WBS!$T32=""),"",IF(AND(15&gt;=WBS!$F32,15&lt;=WBS!$T32),IF(WBS!$L32="Done",3,IF(WBS!$L32="Doing",2,IF(WBS!$L32="Blocked",4,IF(WBS!$L32="Deferred",5,1)))),""))</f>
        <v/>
      </c>
      <c r="U32" s="58" t="str">
        <f>IF(OR(WBS!$F32="",WBS!$T32=""),"",IF(AND(16&gt;=WBS!$F32,16&lt;=WBS!$T32),IF(WBS!$L32="Done",3,IF(WBS!$L32="Doing",2,IF(WBS!$L32="Blocked",4,IF(WBS!$L32="Deferred",5,1)))),""))</f>
        <v/>
      </c>
      <c r="V32" s="58" t="str">
        <f>IF(OR(WBS!$F32="",WBS!$T32=""),"",IF(AND(17&gt;=WBS!$F32,17&lt;=WBS!$T32),IF(WBS!$L32="Done",3,IF(WBS!$L32="Doing",2,IF(WBS!$L32="Blocked",4,IF(WBS!$L32="Deferred",5,1)))),""))</f>
        <v/>
      </c>
      <c r="W32" s="58" t="str">
        <f>IF(OR(WBS!$F32="",WBS!$T32=""),"",IF(AND(18&gt;=WBS!$F32,18&lt;=WBS!$T32),IF(WBS!$L32="Done",3,IF(WBS!$L32="Doing",2,IF(WBS!$L32="Blocked",4,IF(WBS!$L32="Deferred",5,1)))),""))</f>
        <v/>
      </c>
      <c r="X32" s="58" t="str">
        <f>IF(OR(WBS!$F32="",WBS!$T32=""),"",IF(AND(19&gt;=WBS!$F32,19&lt;=WBS!$T32),IF(WBS!$L32="Done",3,IF(WBS!$L32="Doing",2,IF(WBS!$L32="Blocked",4,IF(WBS!$L32="Deferred",5,1)))),""))</f>
        <v/>
      </c>
      <c r="Y32" s="58" t="str">
        <f>IF(OR(WBS!$F32="",WBS!$T32=""),"",IF(AND(20&gt;=WBS!$F32,20&lt;=WBS!$T32),IF(WBS!$L32="Done",3,IF(WBS!$L32="Doing",2,IF(WBS!$L32="Blocked",4,IF(WBS!$L32="Deferred",5,1)))),""))</f>
        <v/>
      </c>
      <c r="Z32" s="58" t="str">
        <f>IF(OR(WBS!$F32="",WBS!$T32=""),"",IF(AND(21&gt;=WBS!$F32,21&lt;=WBS!$T32),IF(WBS!$L32="Done",3,IF(WBS!$L32="Doing",2,IF(WBS!$L32="Blocked",4,IF(WBS!$L32="Deferred",5,1)))),""))</f>
        <v/>
      </c>
    </row>
    <row r="33" spans="1:26" x14ac:dyDescent="0.3">
      <c r="A33" s="64" t="str">
        <f>WBS!$A33</f>
        <v>2.2.2</v>
      </c>
      <c r="B33" s="65" t="str">
        <f>WBS!$C33</f>
        <v xml:space="preserve">        C4 context and container diagrams</v>
      </c>
      <c r="C33" s="66" t="str">
        <f>IF(WBS!$E33="","",WBS!$E33)</f>
        <v>ARCH</v>
      </c>
      <c r="D33" s="67">
        <f>WBS!$J33</f>
        <v>1</v>
      </c>
      <c r="E33" s="68">
        <f>WBS!$M33</f>
        <v>0</v>
      </c>
      <c r="F33" s="58" t="str">
        <f>IF(OR(WBS!$F33="",WBS!$T33=""),"",IF(AND(1&gt;=WBS!$F33,1&lt;=WBS!$T33),IF(WBS!$L33="Done",3,IF(WBS!$L33="Doing",2,IF(WBS!$L33="Blocked",4,IF(WBS!$L33="Deferred",5,1)))),""))</f>
        <v/>
      </c>
      <c r="G33" s="58" t="str">
        <f>IF(OR(WBS!$F33="",WBS!$T33=""),"",IF(AND(2&gt;=WBS!$F33,2&lt;=WBS!$T33),IF(WBS!$L33="Done",3,IF(WBS!$L33="Doing",2,IF(WBS!$L33="Blocked",4,IF(WBS!$L33="Deferred",5,1)))),""))</f>
        <v/>
      </c>
      <c r="H33" s="58" t="str">
        <f>IF(OR(WBS!$F33="",WBS!$T33=""),"",IF(AND(3&gt;=WBS!$F33,3&lt;=WBS!$T33),IF(WBS!$L33="Done",3,IF(WBS!$L33="Doing",2,IF(WBS!$L33="Blocked",4,IF(WBS!$L33="Deferred",5,1)))),""))</f>
        <v/>
      </c>
      <c r="I33" s="58">
        <f>IF(OR(WBS!$F33="",WBS!$T33=""),"",IF(AND(4&gt;=WBS!$F33,4&lt;=WBS!$T33),IF(WBS!$L33="Done",3,IF(WBS!$L33="Doing",2,IF(WBS!$L33="Blocked",4,IF(WBS!$L33="Deferred",5,1)))),""))</f>
        <v>1</v>
      </c>
      <c r="J33" s="58" t="str">
        <f>IF(OR(WBS!$F33="",WBS!$T33=""),"",IF(AND(5&gt;=WBS!$F33,5&lt;=WBS!$T33),IF(WBS!$L33="Done",3,IF(WBS!$L33="Doing",2,IF(WBS!$L33="Blocked",4,IF(WBS!$L33="Deferred",5,1)))),""))</f>
        <v/>
      </c>
      <c r="K33" s="58" t="str">
        <f>IF(OR(WBS!$F33="",WBS!$T33=""),"",IF(AND(6&gt;=WBS!$F33,6&lt;=WBS!$T33),IF(WBS!$L33="Done",3,IF(WBS!$L33="Doing",2,IF(WBS!$L33="Blocked",4,IF(WBS!$L33="Deferred",5,1)))),""))</f>
        <v/>
      </c>
      <c r="L33" s="58" t="str">
        <f>IF(OR(WBS!$F33="",WBS!$T33=""),"",IF(AND(7&gt;=WBS!$F33,7&lt;=WBS!$T33),IF(WBS!$L33="Done",3,IF(WBS!$L33="Doing",2,IF(WBS!$L33="Blocked",4,IF(WBS!$L33="Deferred",5,1)))),""))</f>
        <v/>
      </c>
      <c r="M33" s="58" t="str">
        <f>IF(OR(WBS!$F33="",WBS!$T33=""),"",IF(AND(8&gt;=WBS!$F33,8&lt;=WBS!$T33),IF(WBS!$L33="Done",3,IF(WBS!$L33="Doing",2,IF(WBS!$L33="Blocked",4,IF(WBS!$L33="Deferred",5,1)))),""))</f>
        <v/>
      </c>
      <c r="N33" s="58" t="str">
        <f>IF(OR(WBS!$F33="",WBS!$T33=""),"",IF(AND(9&gt;=WBS!$F33,9&lt;=WBS!$T33),IF(WBS!$L33="Done",3,IF(WBS!$L33="Doing",2,IF(WBS!$L33="Blocked",4,IF(WBS!$L33="Deferred",5,1)))),""))</f>
        <v/>
      </c>
      <c r="O33" s="58" t="str">
        <f>IF(OR(WBS!$F33="",WBS!$T33=""),"",IF(AND(10&gt;=WBS!$F33,10&lt;=WBS!$T33),IF(WBS!$L33="Done",3,IF(WBS!$L33="Doing",2,IF(WBS!$L33="Blocked",4,IF(WBS!$L33="Deferred",5,1)))),""))</f>
        <v/>
      </c>
      <c r="P33" s="58" t="str">
        <f>IF(OR(WBS!$F33="",WBS!$T33=""),"",IF(AND(11&gt;=WBS!$F33,11&lt;=WBS!$T33),IF(WBS!$L33="Done",3,IF(WBS!$L33="Doing",2,IF(WBS!$L33="Blocked",4,IF(WBS!$L33="Deferred",5,1)))),""))</f>
        <v/>
      </c>
      <c r="Q33" s="58" t="str">
        <f>IF(OR(WBS!$F33="",WBS!$T33=""),"",IF(AND(12&gt;=WBS!$F33,12&lt;=WBS!$T33),IF(WBS!$L33="Done",3,IF(WBS!$L33="Doing",2,IF(WBS!$L33="Blocked",4,IF(WBS!$L33="Deferred",5,1)))),""))</f>
        <v/>
      </c>
      <c r="R33" s="58" t="str">
        <f>IF(OR(WBS!$F33="",WBS!$T33=""),"",IF(AND(13&gt;=WBS!$F33,13&lt;=WBS!$T33),IF(WBS!$L33="Done",3,IF(WBS!$L33="Doing",2,IF(WBS!$L33="Blocked",4,IF(WBS!$L33="Deferred",5,1)))),""))</f>
        <v/>
      </c>
      <c r="S33" s="58" t="str">
        <f>IF(OR(WBS!$F33="",WBS!$T33=""),"",IF(AND(14&gt;=WBS!$F33,14&lt;=WBS!$T33),IF(WBS!$L33="Done",3,IF(WBS!$L33="Doing",2,IF(WBS!$L33="Blocked",4,IF(WBS!$L33="Deferred",5,1)))),""))</f>
        <v/>
      </c>
      <c r="T33" s="58" t="str">
        <f>IF(OR(WBS!$F33="",WBS!$T33=""),"",IF(AND(15&gt;=WBS!$F33,15&lt;=WBS!$T33),IF(WBS!$L33="Done",3,IF(WBS!$L33="Doing",2,IF(WBS!$L33="Blocked",4,IF(WBS!$L33="Deferred",5,1)))),""))</f>
        <v/>
      </c>
      <c r="U33" s="58" t="str">
        <f>IF(OR(WBS!$F33="",WBS!$T33=""),"",IF(AND(16&gt;=WBS!$F33,16&lt;=WBS!$T33),IF(WBS!$L33="Done",3,IF(WBS!$L33="Doing",2,IF(WBS!$L33="Blocked",4,IF(WBS!$L33="Deferred",5,1)))),""))</f>
        <v/>
      </c>
      <c r="V33" s="58" t="str">
        <f>IF(OR(WBS!$F33="",WBS!$T33=""),"",IF(AND(17&gt;=WBS!$F33,17&lt;=WBS!$T33),IF(WBS!$L33="Done",3,IF(WBS!$L33="Doing",2,IF(WBS!$L33="Blocked",4,IF(WBS!$L33="Deferred",5,1)))),""))</f>
        <v/>
      </c>
      <c r="W33" s="58" t="str">
        <f>IF(OR(WBS!$F33="",WBS!$T33=""),"",IF(AND(18&gt;=WBS!$F33,18&lt;=WBS!$T33),IF(WBS!$L33="Done",3,IF(WBS!$L33="Doing",2,IF(WBS!$L33="Blocked",4,IF(WBS!$L33="Deferred",5,1)))),""))</f>
        <v/>
      </c>
      <c r="X33" s="58" t="str">
        <f>IF(OR(WBS!$F33="",WBS!$T33=""),"",IF(AND(19&gt;=WBS!$F33,19&lt;=WBS!$T33),IF(WBS!$L33="Done",3,IF(WBS!$L33="Doing",2,IF(WBS!$L33="Blocked",4,IF(WBS!$L33="Deferred",5,1)))),""))</f>
        <v/>
      </c>
      <c r="Y33" s="58" t="str">
        <f>IF(OR(WBS!$F33="",WBS!$T33=""),"",IF(AND(20&gt;=WBS!$F33,20&lt;=WBS!$T33),IF(WBS!$L33="Done",3,IF(WBS!$L33="Doing",2,IF(WBS!$L33="Blocked",4,IF(WBS!$L33="Deferred",5,1)))),""))</f>
        <v/>
      </c>
      <c r="Z33" s="58" t="str">
        <f>IF(OR(WBS!$F33="",WBS!$T33=""),"",IF(AND(21&gt;=WBS!$F33,21&lt;=WBS!$T33),IF(WBS!$L33="Done",3,IF(WBS!$L33="Doing",2,IF(WBS!$L33="Blocked",4,IF(WBS!$L33="Deferred",5,1)))),""))</f>
        <v/>
      </c>
    </row>
    <row r="34" spans="1:26" x14ac:dyDescent="0.3">
      <c r="A34" s="59" t="str">
        <f>WBS!$A34</f>
        <v>2.3</v>
      </c>
      <c r="B34" s="60" t="str">
        <f>WBS!$C34</f>
        <v xml:space="preserve">    Security design</v>
      </c>
      <c r="C34" s="61" t="str">
        <f>IF(WBS!$E34="","",WBS!$E34)</f>
        <v/>
      </c>
      <c r="D34" s="62">
        <f>WBS!$J34</f>
        <v>5</v>
      </c>
      <c r="E34" s="63">
        <f>WBS!$M34</f>
        <v>0</v>
      </c>
      <c r="F34" s="58" t="str">
        <f>IF(OR(WBS!$F34="",WBS!$T34=""),"",IF(AND(1&gt;=WBS!$F34,1&lt;=WBS!$T34),IF(WBS!$L34="Done",3,IF(WBS!$L34="Doing",2,IF(WBS!$L34="Blocked",4,IF(WBS!$L34="Deferred",5,1)))),""))</f>
        <v/>
      </c>
      <c r="G34" s="58" t="str">
        <f>IF(OR(WBS!$F34="",WBS!$T34=""),"",IF(AND(2&gt;=WBS!$F34,2&lt;=WBS!$T34),IF(WBS!$L34="Done",3,IF(WBS!$L34="Doing",2,IF(WBS!$L34="Blocked",4,IF(WBS!$L34="Deferred",5,1)))),""))</f>
        <v/>
      </c>
      <c r="H34" s="58" t="str">
        <f>IF(OR(WBS!$F34="",WBS!$T34=""),"",IF(AND(3&gt;=WBS!$F34,3&lt;=WBS!$T34),IF(WBS!$L34="Done",3,IF(WBS!$L34="Doing",2,IF(WBS!$L34="Blocked",4,IF(WBS!$L34="Deferred",5,1)))),""))</f>
        <v/>
      </c>
      <c r="I34" s="58" t="str">
        <f>IF(OR(WBS!$F34="",WBS!$T34=""),"",IF(AND(4&gt;=WBS!$F34,4&lt;=WBS!$T34),IF(WBS!$L34="Done",3,IF(WBS!$L34="Doing",2,IF(WBS!$L34="Blocked",4,IF(WBS!$L34="Deferred",5,1)))),""))</f>
        <v/>
      </c>
      <c r="J34" s="58">
        <f>IF(OR(WBS!$F34="",WBS!$T34=""),"",IF(AND(5&gt;=WBS!$F34,5&lt;=WBS!$T34),IF(WBS!$L34="Done",3,IF(WBS!$L34="Doing",2,IF(WBS!$L34="Blocked",4,IF(WBS!$L34="Deferred",5,1)))),""))</f>
        <v>1</v>
      </c>
      <c r="K34" s="58" t="str">
        <f>IF(OR(WBS!$F34="",WBS!$T34=""),"",IF(AND(6&gt;=WBS!$F34,6&lt;=WBS!$T34),IF(WBS!$L34="Done",3,IF(WBS!$L34="Doing",2,IF(WBS!$L34="Blocked",4,IF(WBS!$L34="Deferred",5,1)))),""))</f>
        <v/>
      </c>
      <c r="L34" s="58" t="str">
        <f>IF(OR(WBS!$F34="",WBS!$T34=""),"",IF(AND(7&gt;=WBS!$F34,7&lt;=WBS!$T34),IF(WBS!$L34="Done",3,IF(WBS!$L34="Doing",2,IF(WBS!$L34="Blocked",4,IF(WBS!$L34="Deferred",5,1)))),""))</f>
        <v/>
      </c>
      <c r="M34" s="58" t="str">
        <f>IF(OR(WBS!$F34="",WBS!$T34=""),"",IF(AND(8&gt;=WBS!$F34,8&lt;=WBS!$T34),IF(WBS!$L34="Done",3,IF(WBS!$L34="Doing",2,IF(WBS!$L34="Blocked",4,IF(WBS!$L34="Deferred",5,1)))),""))</f>
        <v/>
      </c>
      <c r="N34" s="58" t="str">
        <f>IF(OR(WBS!$F34="",WBS!$T34=""),"",IF(AND(9&gt;=WBS!$F34,9&lt;=WBS!$T34),IF(WBS!$L34="Done",3,IF(WBS!$L34="Doing",2,IF(WBS!$L34="Blocked",4,IF(WBS!$L34="Deferred",5,1)))),""))</f>
        <v/>
      </c>
      <c r="O34" s="58" t="str">
        <f>IF(OR(WBS!$F34="",WBS!$T34=""),"",IF(AND(10&gt;=WBS!$F34,10&lt;=WBS!$T34),IF(WBS!$L34="Done",3,IF(WBS!$L34="Doing",2,IF(WBS!$L34="Blocked",4,IF(WBS!$L34="Deferred",5,1)))),""))</f>
        <v/>
      </c>
      <c r="P34" s="58" t="str">
        <f>IF(OR(WBS!$F34="",WBS!$T34=""),"",IF(AND(11&gt;=WBS!$F34,11&lt;=WBS!$T34),IF(WBS!$L34="Done",3,IF(WBS!$L34="Doing",2,IF(WBS!$L34="Blocked",4,IF(WBS!$L34="Deferred",5,1)))),""))</f>
        <v/>
      </c>
      <c r="Q34" s="58" t="str">
        <f>IF(OR(WBS!$F34="",WBS!$T34=""),"",IF(AND(12&gt;=WBS!$F34,12&lt;=WBS!$T34),IF(WBS!$L34="Done",3,IF(WBS!$L34="Doing",2,IF(WBS!$L34="Blocked",4,IF(WBS!$L34="Deferred",5,1)))),""))</f>
        <v/>
      </c>
      <c r="R34" s="58" t="str">
        <f>IF(OR(WBS!$F34="",WBS!$T34=""),"",IF(AND(13&gt;=WBS!$F34,13&lt;=WBS!$T34),IF(WBS!$L34="Done",3,IF(WBS!$L34="Doing",2,IF(WBS!$L34="Blocked",4,IF(WBS!$L34="Deferred",5,1)))),""))</f>
        <v/>
      </c>
      <c r="S34" s="58" t="str">
        <f>IF(OR(WBS!$F34="",WBS!$T34=""),"",IF(AND(14&gt;=WBS!$F34,14&lt;=WBS!$T34),IF(WBS!$L34="Done",3,IF(WBS!$L34="Doing",2,IF(WBS!$L34="Blocked",4,IF(WBS!$L34="Deferred",5,1)))),""))</f>
        <v/>
      </c>
      <c r="T34" s="58" t="str">
        <f>IF(OR(WBS!$F34="",WBS!$T34=""),"",IF(AND(15&gt;=WBS!$F34,15&lt;=WBS!$T34),IF(WBS!$L34="Done",3,IF(WBS!$L34="Doing",2,IF(WBS!$L34="Blocked",4,IF(WBS!$L34="Deferred",5,1)))),""))</f>
        <v/>
      </c>
      <c r="U34" s="58" t="str">
        <f>IF(OR(WBS!$F34="",WBS!$T34=""),"",IF(AND(16&gt;=WBS!$F34,16&lt;=WBS!$T34),IF(WBS!$L34="Done",3,IF(WBS!$L34="Doing",2,IF(WBS!$L34="Blocked",4,IF(WBS!$L34="Deferred",5,1)))),""))</f>
        <v/>
      </c>
      <c r="V34" s="58" t="str">
        <f>IF(OR(WBS!$F34="",WBS!$T34=""),"",IF(AND(17&gt;=WBS!$F34,17&lt;=WBS!$T34),IF(WBS!$L34="Done",3,IF(WBS!$L34="Doing",2,IF(WBS!$L34="Blocked",4,IF(WBS!$L34="Deferred",5,1)))),""))</f>
        <v/>
      </c>
      <c r="W34" s="58" t="str">
        <f>IF(OR(WBS!$F34="",WBS!$T34=""),"",IF(AND(18&gt;=WBS!$F34,18&lt;=WBS!$T34),IF(WBS!$L34="Done",3,IF(WBS!$L34="Doing",2,IF(WBS!$L34="Blocked",4,IF(WBS!$L34="Deferred",5,1)))),""))</f>
        <v/>
      </c>
      <c r="X34" s="58" t="str">
        <f>IF(OR(WBS!$F34="",WBS!$T34=""),"",IF(AND(19&gt;=WBS!$F34,19&lt;=WBS!$T34),IF(WBS!$L34="Done",3,IF(WBS!$L34="Doing",2,IF(WBS!$L34="Blocked",4,IF(WBS!$L34="Deferred",5,1)))),""))</f>
        <v/>
      </c>
      <c r="Y34" s="58" t="str">
        <f>IF(OR(WBS!$F34="",WBS!$T34=""),"",IF(AND(20&gt;=WBS!$F34,20&lt;=WBS!$T34),IF(WBS!$L34="Done",3,IF(WBS!$L34="Doing",2,IF(WBS!$L34="Blocked",4,IF(WBS!$L34="Deferred",5,1)))),""))</f>
        <v/>
      </c>
      <c r="Z34" s="58" t="str">
        <f>IF(OR(WBS!$F34="",WBS!$T34=""),"",IF(AND(21&gt;=WBS!$F34,21&lt;=WBS!$T34),IF(WBS!$L34="Done",3,IF(WBS!$L34="Doing",2,IF(WBS!$L34="Blocked",4,IF(WBS!$L34="Deferred",5,1)))),""))</f>
        <v/>
      </c>
    </row>
    <row r="35" spans="1:26" x14ac:dyDescent="0.3">
      <c r="A35" s="64" t="str">
        <f>WBS!$A35</f>
        <v>2.3.1</v>
      </c>
      <c r="B35" s="65" t="str">
        <f>WBS!$C35</f>
        <v xml:space="preserve">        STRIDE threat model per trust boundary</v>
      </c>
      <c r="C35" s="66" t="str">
        <f>IF(WBS!$E35="","",WBS!$E35)</f>
        <v>SEC</v>
      </c>
      <c r="D35" s="67">
        <f>WBS!$J35</f>
        <v>2.5</v>
      </c>
      <c r="E35" s="68">
        <f>WBS!$M35</f>
        <v>0</v>
      </c>
      <c r="F35" s="58" t="str">
        <f>IF(OR(WBS!$F35="",WBS!$T35=""),"",IF(AND(1&gt;=WBS!$F35,1&lt;=WBS!$T35),IF(WBS!$L35="Done",3,IF(WBS!$L35="Doing",2,IF(WBS!$L35="Blocked",4,IF(WBS!$L35="Deferred",5,1)))),""))</f>
        <v/>
      </c>
      <c r="G35" s="58" t="str">
        <f>IF(OR(WBS!$F35="",WBS!$T35=""),"",IF(AND(2&gt;=WBS!$F35,2&lt;=WBS!$T35),IF(WBS!$L35="Done",3,IF(WBS!$L35="Doing",2,IF(WBS!$L35="Blocked",4,IF(WBS!$L35="Deferred",5,1)))),""))</f>
        <v/>
      </c>
      <c r="H35" s="58" t="str">
        <f>IF(OR(WBS!$F35="",WBS!$T35=""),"",IF(AND(3&gt;=WBS!$F35,3&lt;=WBS!$T35),IF(WBS!$L35="Done",3,IF(WBS!$L35="Doing",2,IF(WBS!$L35="Blocked",4,IF(WBS!$L35="Deferred",5,1)))),""))</f>
        <v/>
      </c>
      <c r="I35" s="58" t="str">
        <f>IF(OR(WBS!$F35="",WBS!$T35=""),"",IF(AND(4&gt;=WBS!$F35,4&lt;=WBS!$T35),IF(WBS!$L35="Done",3,IF(WBS!$L35="Doing",2,IF(WBS!$L35="Blocked",4,IF(WBS!$L35="Deferred",5,1)))),""))</f>
        <v/>
      </c>
      <c r="J35" s="58">
        <f>IF(OR(WBS!$F35="",WBS!$T35=""),"",IF(AND(5&gt;=WBS!$F35,5&lt;=WBS!$T35),IF(WBS!$L35="Done",3,IF(WBS!$L35="Doing",2,IF(WBS!$L35="Blocked",4,IF(WBS!$L35="Deferred",5,1)))),""))</f>
        <v>1</v>
      </c>
      <c r="K35" s="58" t="str">
        <f>IF(OR(WBS!$F35="",WBS!$T35=""),"",IF(AND(6&gt;=WBS!$F35,6&lt;=WBS!$T35),IF(WBS!$L35="Done",3,IF(WBS!$L35="Doing",2,IF(WBS!$L35="Blocked",4,IF(WBS!$L35="Deferred",5,1)))),""))</f>
        <v/>
      </c>
      <c r="L35" s="58" t="str">
        <f>IF(OR(WBS!$F35="",WBS!$T35=""),"",IF(AND(7&gt;=WBS!$F35,7&lt;=WBS!$T35),IF(WBS!$L35="Done",3,IF(WBS!$L35="Doing",2,IF(WBS!$L35="Blocked",4,IF(WBS!$L35="Deferred",5,1)))),""))</f>
        <v/>
      </c>
      <c r="M35" s="58" t="str">
        <f>IF(OR(WBS!$F35="",WBS!$T35=""),"",IF(AND(8&gt;=WBS!$F35,8&lt;=WBS!$T35),IF(WBS!$L35="Done",3,IF(WBS!$L35="Doing",2,IF(WBS!$L35="Blocked",4,IF(WBS!$L35="Deferred",5,1)))),""))</f>
        <v/>
      </c>
      <c r="N35" s="58" t="str">
        <f>IF(OR(WBS!$F35="",WBS!$T35=""),"",IF(AND(9&gt;=WBS!$F35,9&lt;=WBS!$T35),IF(WBS!$L35="Done",3,IF(WBS!$L35="Doing",2,IF(WBS!$L35="Blocked",4,IF(WBS!$L35="Deferred",5,1)))),""))</f>
        <v/>
      </c>
      <c r="O35" s="58" t="str">
        <f>IF(OR(WBS!$F35="",WBS!$T35=""),"",IF(AND(10&gt;=WBS!$F35,10&lt;=WBS!$T35),IF(WBS!$L35="Done",3,IF(WBS!$L35="Doing",2,IF(WBS!$L35="Blocked",4,IF(WBS!$L35="Deferred",5,1)))),""))</f>
        <v/>
      </c>
      <c r="P35" s="58" t="str">
        <f>IF(OR(WBS!$F35="",WBS!$T35=""),"",IF(AND(11&gt;=WBS!$F35,11&lt;=WBS!$T35),IF(WBS!$L35="Done",3,IF(WBS!$L35="Doing",2,IF(WBS!$L35="Blocked",4,IF(WBS!$L35="Deferred",5,1)))),""))</f>
        <v/>
      </c>
      <c r="Q35" s="58" t="str">
        <f>IF(OR(WBS!$F35="",WBS!$T35=""),"",IF(AND(12&gt;=WBS!$F35,12&lt;=WBS!$T35),IF(WBS!$L35="Done",3,IF(WBS!$L35="Doing",2,IF(WBS!$L35="Blocked",4,IF(WBS!$L35="Deferred",5,1)))),""))</f>
        <v/>
      </c>
      <c r="R35" s="58" t="str">
        <f>IF(OR(WBS!$F35="",WBS!$T35=""),"",IF(AND(13&gt;=WBS!$F35,13&lt;=WBS!$T35),IF(WBS!$L35="Done",3,IF(WBS!$L35="Doing",2,IF(WBS!$L35="Blocked",4,IF(WBS!$L35="Deferred",5,1)))),""))</f>
        <v/>
      </c>
      <c r="S35" s="58" t="str">
        <f>IF(OR(WBS!$F35="",WBS!$T35=""),"",IF(AND(14&gt;=WBS!$F35,14&lt;=WBS!$T35),IF(WBS!$L35="Done",3,IF(WBS!$L35="Doing",2,IF(WBS!$L35="Blocked",4,IF(WBS!$L35="Deferred",5,1)))),""))</f>
        <v/>
      </c>
      <c r="T35" s="58" t="str">
        <f>IF(OR(WBS!$F35="",WBS!$T35=""),"",IF(AND(15&gt;=WBS!$F35,15&lt;=WBS!$T35),IF(WBS!$L35="Done",3,IF(WBS!$L35="Doing",2,IF(WBS!$L35="Blocked",4,IF(WBS!$L35="Deferred",5,1)))),""))</f>
        <v/>
      </c>
      <c r="U35" s="58" t="str">
        <f>IF(OR(WBS!$F35="",WBS!$T35=""),"",IF(AND(16&gt;=WBS!$F35,16&lt;=WBS!$T35),IF(WBS!$L35="Done",3,IF(WBS!$L35="Doing",2,IF(WBS!$L35="Blocked",4,IF(WBS!$L35="Deferred",5,1)))),""))</f>
        <v/>
      </c>
      <c r="V35" s="58" t="str">
        <f>IF(OR(WBS!$F35="",WBS!$T35=""),"",IF(AND(17&gt;=WBS!$F35,17&lt;=WBS!$T35),IF(WBS!$L35="Done",3,IF(WBS!$L35="Doing",2,IF(WBS!$L35="Blocked",4,IF(WBS!$L35="Deferred",5,1)))),""))</f>
        <v/>
      </c>
      <c r="W35" s="58" t="str">
        <f>IF(OR(WBS!$F35="",WBS!$T35=""),"",IF(AND(18&gt;=WBS!$F35,18&lt;=WBS!$T35),IF(WBS!$L35="Done",3,IF(WBS!$L35="Doing",2,IF(WBS!$L35="Blocked",4,IF(WBS!$L35="Deferred",5,1)))),""))</f>
        <v/>
      </c>
      <c r="X35" s="58" t="str">
        <f>IF(OR(WBS!$F35="",WBS!$T35=""),"",IF(AND(19&gt;=WBS!$F35,19&lt;=WBS!$T35),IF(WBS!$L35="Done",3,IF(WBS!$L35="Doing",2,IF(WBS!$L35="Blocked",4,IF(WBS!$L35="Deferred",5,1)))),""))</f>
        <v/>
      </c>
      <c r="Y35" s="58" t="str">
        <f>IF(OR(WBS!$F35="",WBS!$T35=""),"",IF(AND(20&gt;=WBS!$F35,20&lt;=WBS!$T35),IF(WBS!$L35="Done",3,IF(WBS!$L35="Doing",2,IF(WBS!$L35="Blocked",4,IF(WBS!$L35="Deferred",5,1)))),""))</f>
        <v/>
      </c>
      <c r="Z35" s="58" t="str">
        <f>IF(OR(WBS!$F35="",WBS!$T35=""),"",IF(AND(21&gt;=WBS!$F35,21&lt;=WBS!$T35),IF(WBS!$L35="Done",3,IF(WBS!$L35="Doing",2,IF(WBS!$L35="Blocked",4,IF(WBS!$L35="Deferred",5,1)))),""))</f>
        <v/>
      </c>
    </row>
    <row r="36" spans="1:26" x14ac:dyDescent="0.3">
      <c r="A36" s="64" t="str">
        <f>WBS!$A36</f>
        <v>2.3.2</v>
      </c>
      <c r="B36" s="65" t="str">
        <f>WBS!$C36</f>
        <v xml:space="preserve">        Permission matrix for ten roles with scoped permissions</v>
      </c>
      <c r="C36" s="66" t="str">
        <f>IF(WBS!$E36="","",WBS!$E36)</f>
        <v>SEC</v>
      </c>
      <c r="D36" s="67">
        <f>WBS!$J36</f>
        <v>1.5</v>
      </c>
      <c r="E36" s="68">
        <f>WBS!$M36</f>
        <v>0</v>
      </c>
      <c r="F36" s="58" t="str">
        <f>IF(OR(WBS!$F36="",WBS!$T36=""),"",IF(AND(1&gt;=WBS!$F36,1&lt;=WBS!$T36),IF(WBS!$L36="Done",3,IF(WBS!$L36="Doing",2,IF(WBS!$L36="Blocked",4,IF(WBS!$L36="Deferred",5,1)))),""))</f>
        <v/>
      </c>
      <c r="G36" s="58" t="str">
        <f>IF(OR(WBS!$F36="",WBS!$T36=""),"",IF(AND(2&gt;=WBS!$F36,2&lt;=WBS!$T36),IF(WBS!$L36="Done",3,IF(WBS!$L36="Doing",2,IF(WBS!$L36="Blocked",4,IF(WBS!$L36="Deferred",5,1)))),""))</f>
        <v/>
      </c>
      <c r="H36" s="58" t="str">
        <f>IF(OR(WBS!$F36="",WBS!$T36=""),"",IF(AND(3&gt;=WBS!$F36,3&lt;=WBS!$T36),IF(WBS!$L36="Done",3,IF(WBS!$L36="Doing",2,IF(WBS!$L36="Blocked",4,IF(WBS!$L36="Deferred",5,1)))),""))</f>
        <v/>
      </c>
      <c r="I36" s="58" t="str">
        <f>IF(OR(WBS!$F36="",WBS!$T36=""),"",IF(AND(4&gt;=WBS!$F36,4&lt;=WBS!$T36),IF(WBS!$L36="Done",3,IF(WBS!$L36="Doing",2,IF(WBS!$L36="Blocked",4,IF(WBS!$L36="Deferred",5,1)))),""))</f>
        <v/>
      </c>
      <c r="J36" s="58">
        <f>IF(OR(WBS!$F36="",WBS!$T36=""),"",IF(AND(5&gt;=WBS!$F36,5&lt;=WBS!$T36),IF(WBS!$L36="Done",3,IF(WBS!$L36="Doing",2,IF(WBS!$L36="Blocked",4,IF(WBS!$L36="Deferred",5,1)))),""))</f>
        <v>1</v>
      </c>
      <c r="K36" s="58" t="str">
        <f>IF(OR(WBS!$F36="",WBS!$T36=""),"",IF(AND(6&gt;=WBS!$F36,6&lt;=WBS!$T36),IF(WBS!$L36="Done",3,IF(WBS!$L36="Doing",2,IF(WBS!$L36="Blocked",4,IF(WBS!$L36="Deferred",5,1)))),""))</f>
        <v/>
      </c>
      <c r="L36" s="58" t="str">
        <f>IF(OR(WBS!$F36="",WBS!$T36=""),"",IF(AND(7&gt;=WBS!$F36,7&lt;=WBS!$T36),IF(WBS!$L36="Done",3,IF(WBS!$L36="Doing",2,IF(WBS!$L36="Blocked",4,IF(WBS!$L36="Deferred",5,1)))),""))</f>
        <v/>
      </c>
      <c r="M36" s="58" t="str">
        <f>IF(OR(WBS!$F36="",WBS!$T36=""),"",IF(AND(8&gt;=WBS!$F36,8&lt;=WBS!$T36),IF(WBS!$L36="Done",3,IF(WBS!$L36="Doing",2,IF(WBS!$L36="Blocked",4,IF(WBS!$L36="Deferred",5,1)))),""))</f>
        <v/>
      </c>
      <c r="N36" s="58" t="str">
        <f>IF(OR(WBS!$F36="",WBS!$T36=""),"",IF(AND(9&gt;=WBS!$F36,9&lt;=WBS!$T36),IF(WBS!$L36="Done",3,IF(WBS!$L36="Doing",2,IF(WBS!$L36="Blocked",4,IF(WBS!$L36="Deferred",5,1)))),""))</f>
        <v/>
      </c>
      <c r="O36" s="58" t="str">
        <f>IF(OR(WBS!$F36="",WBS!$T36=""),"",IF(AND(10&gt;=WBS!$F36,10&lt;=WBS!$T36),IF(WBS!$L36="Done",3,IF(WBS!$L36="Doing",2,IF(WBS!$L36="Blocked",4,IF(WBS!$L36="Deferred",5,1)))),""))</f>
        <v/>
      </c>
      <c r="P36" s="58" t="str">
        <f>IF(OR(WBS!$F36="",WBS!$T36=""),"",IF(AND(11&gt;=WBS!$F36,11&lt;=WBS!$T36),IF(WBS!$L36="Done",3,IF(WBS!$L36="Doing",2,IF(WBS!$L36="Blocked",4,IF(WBS!$L36="Deferred",5,1)))),""))</f>
        <v/>
      </c>
      <c r="Q36" s="58" t="str">
        <f>IF(OR(WBS!$F36="",WBS!$T36=""),"",IF(AND(12&gt;=WBS!$F36,12&lt;=WBS!$T36),IF(WBS!$L36="Done",3,IF(WBS!$L36="Doing",2,IF(WBS!$L36="Blocked",4,IF(WBS!$L36="Deferred",5,1)))),""))</f>
        <v/>
      </c>
      <c r="R36" s="58" t="str">
        <f>IF(OR(WBS!$F36="",WBS!$T36=""),"",IF(AND(13&gt;=WBS!$F36,13&lt;=WBS!$T36),IF(WBS!$L36="Done",3,IF(WBS!$L36="Doing",2,IF(WBS!$L36="Blocked",4,IF(WBS!$L36="Deferred",5,1)))),""))</f>
        <v/>
      </c>
      <c r="S36" s="58" t="str">
        <f>IF(OR(WBS!$F36="",WBS!$T36=""),"",IF(AND(14&gt;=WBS!$F36,14&lt;=WBS!$T36),IF(WBS!$L36="Done",3,IF(WBS!$L36="Doing",2,IF(WBS!$L36="Blocked",4,IF(WBS!$L36="Deferred",5,1)))),""))</f>
        <v/>
      </c>
      <c r="T36" s="58" t="str">
        <f>IF(OR(WBS!$F36="",WBS!$T36=""),"",IF(AND(15&gt;=WBS!$F36,15&lt;=WBS!$T36),IF(WBS!$L36="Done",3,IF(WBS!$L36="Doing",2,IF(WBS!$L36="Blocked",4,IF(WBS!$L36="Deferred",5,1)))),""))</f>
        <v/>
      </c>
      <c r="U36" s="58" t="str">
        <f>IF(OR(WBS!$F36="",WBS!$T36=""),"",IF(AND(16&gt;=WBS!$F36,16&lt;=WBS!$T36),IF(WBS!$L36="Done",3,IF(WBS!$L36="Doing",2,IF(WBS!$L36="Blocked",4,IF(WBS!$L36="Deferred",5,1)))),""))</f>
        <v/>
      </c>
      <c r="V36" s="58" t="str">
        <f>IF(OR(WBS!$F36="",WBS!$T36=""),"",IF(AND(17&gt;=WBS!$F36,17&lt;=WBS!$T36),IF(WBS!$L36="Done",3,IF(WBS!$L36="Doing",2,IF(WBS!$L36="Blocked",4,IF(WBS!$L36="Deferred",5,1)))),""))</f>
        <v/>
      </c>
      <c r="W36" s="58" t="str">
        <f>IF(OR(WBS!$F36="",WBS!$T36=""),"",IF(AND(18&gt;=WBS!$F36,18&lt;=WBS!$T36),IF(WBS!$L36="Done",3,IF(WBS!$L36="Doing",2,IF(WBS!$L36="Blocked",4,IF(WBS!$L36="Deferred",5,1)))),""))</f>
        <v/>
      </c>
      <c r="X36" s="58" t="str">
        <f>IF(OR(WBS!$F36="",WBS!$T36=""),"",IF(AND(19&gt;=WBS!$F36,19&lt;=WBS!$T36),IF(WBS!$L36="Done",3,IF(WBS!$L36="Doing",2,IF(WBS!$L36="Blocked",4,IF(WBS!$L36="Deferred",5,1)))),""))</f>
        <v/>
      </c>
      <c r="Y36" s="58" t="str">
        <f>IF(OR(WBS!$F36="",WBS!$T36=""),"",IF(AND(20&gt;=WBS!$F36,20&lt;=WBS!$T36),IF(WBS!$L36="Done",3,IF(WBS!$L36="Doing",2,IF(WBS!$L36="Blocked",4,IF(WBS!$L36="Deferred",5,1)))),""))</f>
        <v/>
      </c>
      <c r="Z36" s="58" t="str">
        <f>IF(OR(WBS!$F36="",WBS!$T36=""),"",IF(AND(21&gt;=WBS!$F36,21&lt;=WBS!$T36),IF(WBS!$L36="Done",3,IF(WBS!$L36="Doing",2,IF(WBS!$L36="Blocked",4,IF(WBS!$L36="Deferred",5,1)))),""))</f>
        <v/>
      </c>
    </row>
    <row r="37" spans="1:26" x14ac:dyDescent="0.3">
      <c r="A37" s="64" t="str">
        <f>WBS!$A37</f>
        <v>2.3.3</v>
      </c>
      <c r="B37" s="65" t="str">
        <f>WBS!$C37</f>
        <v xml:space="preserve">        Data classification and retention schedule</v>
      </c>
      <c r="C37" s="66" t="str">
        <f>IF(WBS!$E37="","",WBS!$E37)</f>
        <v>SEC</v>
      </c>
      <c r="D37" s="67">
        <f>WBS!$J37</f>
        <v>1</v>
      </c>
      <c r="E37" s="68">
        <f>WBS!$M37</f>
        <v>0</v>
      </c>
      <c r="F37" s="58" t="str">
        <f>IF(OR(WBS!$F37="",WBS!$T37=""),"",IF(AND(1&gt;=WBS!$F37,1&lt;=WBS!$T37),IF(WBS!$L37="Done",3,IF(WBS!$L37="Doing",2,IF(WBS!$L37="Blocked",4,IF(WBS!$L37="Deferred",5,1)))),""))</f>
        <v/>
      </c>
      <c r="G37" s="58" t="str">
        <f>IF(OR(WBS!$F37="",WBS!$T37=""),"",IF(AND(2&gt;=WBS!$F37,2&lt;=WBS!$T37),IF(WBS!$L37="Done",3,IF(WBS!$L37="Doing",2,IF(WBS!$L37="Blocked",4,IF(WBS!$L37="Deferred",5,1)))),""))</f>
        <v/>
      </c>
      <c r="H37" s="58" t="str">
        <f>IF(OR(WBS!$F37="",WBS!$T37=""),"",IF(AND(3&gt;=WBS!$F37,3&lt;=WBS!$T37),IF(WBS!$L37="Done",3,IF(WBS!$L37="Doing",2,IF(WBS!$L37="Blocked",4,IF(WBS!$L37="Deferred",5,1)))),""))</f>
        <v/>
      </c>
      <c r="I37" s="58" t="str">
        <f>IF(OR(WBS!$F37="",WBS!$T37=""),"",IF(AND(4&gt;=WBS!$F37,4&lt;=WBS!$T37),IF(WBS!$L37="Done",3,IF(WBS!$L37="Doing",2,IF(WBS!$L37="Blocked",4,IF(WBS!$L37="Deferred",5,1)))),""))</f>
        <v/>
      </c>
      <c r="J37" s="58">
        <f>IF(OR(WBS!$F37="",WBS!$T37=""),"",IF(AND(5&gt;=WBS!$F37,5&lt;=WBS!$T37),IF(WBS!$L37="Done",3,IF(WBS!$L37="Doing",2,IF(WBS!$L37="Blocked",4,IF(WBS!$L37="Deferred",5,1)))),""))</f>
        <v>1</v>
      </c>
      <c r="K37" s="58" t="str">
        <f>IF(OR(WBS!$F37="",WBS!$T37=""),"",IF(AND(6&gt;=WBS!$F37,6&lt;=WBS!$T37),IF(WBS!$L37="Done",3,IF(WBS!$L37="Doing",2,IF(WBS!$L37="Blocked",4,IF(WBS!$L37="Deferred",5,1)))),""))</f>
        <v/>
      </c>
      <c r="L37" s="58" t="str">
        <f>IF(OR(WBS!$F37="",WBS!$T37=""),"",IF(AND(7&gt;=WBS!$F37,7&lt;=WBS!$T37),IF(WBS!$L37="Done",3,IF(WBS!$L37="Doing",2,IF(WBS!$L37="Blocked",4,IF(WBS!$L37="Deferred",5,1)))),""))</f>
        <v/>
      </c>
      <c r="M37" s="58" t="str">
        <f>IF(OR(WBS!$F37="",WBS!$T37=""),"",IF(AND(8&gt;=WBS!$F37,8&lt;=WBS!$T37),IF(WBS!$L37="Done",3,IF(WBS!$L37="Doing",2,IF(WBS!$L37="Blocked",4,IF(WBS!$L37="Deferred",5,1)))),""))</f>
        <v/>
      </c>
      <c r="N37" s="58" t="str">
        <f>IF(OR(WBS!$F37="",WBS!$T37=""),"",IF(AND(9&gt;=WBS!$F37,9&lt;=WBS!$T37),IF(WBS!$L37="Done",3,IF(WBS!$L37="Doing",2,IF(WBS!$L37="Blocked",4,IF(WBS!$L37="Deferred",5,1)))),""))</f>
        <v/>
      </c>
      <c r="O37" s="58" t="str">
        <f>IF(OR(WBS!$F37="",WBS!$T37=""),"",IF(AND(10&gt;=WBS!$F37,10&lt;=WBS!$T37),IF(WBS!$L37="Done",3,IF(WBS!$L37="Doing",2,IF(WBS!$L37="Blocked",4,IF(WBS!$L37="Deferred",5,1)))),""))</f>
        <v/>
      </c>
      <c r="P37" s="58" t="str">
        <f>IF(OR(WBS!$F37="",WBS!$T37=""),"",IF(AND(11&gt;=WBS!$F37,11&lt;=WBS!$T37),IF(WBS!$L37="Done",3,IF(WBS!$L37="Doing",2,IF(WBS!$L37="Blocked",4,IF(WBS!$L37="Deferred",5,1)))),""))</f>
        <v/>
      </c>
      <c r="Q37" s="58" t="str">
        <f>IF(OR(WBS!$F37="",WBS!$T37=""),"",IF(AND(12&gt;=WBS!$F37,12&lt;=WBS!$T37),IF(WBS!$L37="Done",3,IF(WBS!$L37="Doing",2,IF(WBS!$L37="Blocked",4,IF(WBS!$L37="Deferred",5,1)))),""))</f>
        <v/>
      </c>
      <c r="R37" s="58" t="str">
        <f>IF(OR(WBS!$F37="",WBS!$T37=""),"",IF(AND(13&gt;=WBS!$F37,13&lt;=WBS!$T37),IF(WBS!$L37="Done",3,IF(WBS!$L37="Doing",2,IF(WBS!$L37="Blocked",4,IF(WBS!$L37="Deferred",5,1)))),""))</f>
        <v/>
      </c>
      <c r="S37" s="58" t="str">
        <f>IF(OR(WBS!$F37="",WBS!$T37=""),"",IF(AND(14&gt;=WBS!$F37,14&lt;=WBS!$T37),IF(WBS!$L37="Done",3,IF(WBS!$L37="Doing",2,IF(WBS!$L37="Blocked",4,IF(WBS!$L37="Deferred",5,1)))),""))</f>
        <v/>
      </c>
      <c r="T37" s="58" t="str">
        <f>IF(OR(WBS!$F37="",WBS!$T37=""),"",IF(AND(15&gt;=WBS!$F37,15&lt;=WBS!$T37),IF(WBS!$L37="Done",3,IF(WBS!$L37="Doing",2,IF(WBS!$L37="Blocked",4,IF(WBS!$L37="Deferred",5,1)))),""))</f>
        <v/>
      </c>
      <c r="U37" s="58" t="str">
        <f>IF(OR(WBS!$F37="",WBS!$T37=""),"",IF(AND(16&gt;=WBS!$F37,16&lt;=WBS!$T37),IF(WBS!$L37="Done",3,IF(WBS!$L37="Doing",2,IF(WBS!$L37="Blocked",4,IF(WBS!$L37="Deferred",5,1)))),""))</f>
        <v/>
      </c>
      <c r="V37" s="58" t="str">
        <f>IF(OR(WBS!$F37="",WBS!$T37=""),"",IF(AND(17&gt;=WBS!$F37,17&lt;=WBS!$T37),IF(WBS!$L37="Done",3,IF(WBS!$L37="Doing",2,IF(WBS!$L37="Blocked",4,IF(WBS!$L37="Deferred",5,1)))),""))</f>
        <v/>
      </c>
      <c r="W37" s="58" t="str">
        <f>IF(OR(WBS!$F37="",WBS!$T37=""),"",IF(AND(18&gt;=WBS!$F37,18&lt;=WBS!$T37),IF(WBS!$L37="Done",3,IF(WBS!$L37="Doing",2,IF(WBS!$L37="Blocked",4,IF(WBS!$L37="Deferred",5,1)))),""))</f>
        <v/>
      </c>
      <c r="X37" s="58" t="str">
        <f>IF(OR(WBS!$F37="",WBS!$T37=""),"",IF(AND(19&gt;=WBS!$F37,19&lt;=WBS!$T37),IF(WBS!$L37="Done",3,IF(WBS!$L37="Doing",2,IF(WBS!$L37="Blocked",4,IF(WBS!$L37="Deferred",5,1)))),""))</f>
        <v/>
      </c>
      <c r="Y37" s="58" t="str">
        <f>IF(OR(WBS!$F37="",WBS!$T37=""),"",IF(AND(20&gt;=WBS!$F37,20&lt;=WBS!$T37),IF(WBS!$L37="Done",3,IF(WBS!$L37="Doing",2,IF(WBS!$L37="Blocked",4,IF(WBS!$L37="Deferred",5,1)))),""))</f>
        <v/>
      </c>
      <c r="Z37" s="58" t="str">
        <f>IF(OR(WBS!$F37="",WBS!$T37=""),"",IF(AND(21&gt;=WBS!$F37,21&lt;=WBS!$T37),IF(WBS!$L37="Done",3,IF(WBS!$L37="Doing",2,IF(WBS!$L37="Blocked",4,IF(WBS!$L37="Deferred",5,1)))),""))</f>
        <v/>
      </c>
    </row>
    <row r="38" spans="1:26" x14ac:dyDescent="0.3">
      <c r="A38" s="59" t="str">
        <f>WBS!$A38</f>
        <v>2.4</v>
      </c>
      <c r="B38" s="60" t="str">
        <f>WBS!$C38</f>
        <v xml:space="preserve">    Design system</v>
      </c>
      <c r="C38" s="61" t="str">
        <f>IF(WBS!$E38="","",WBS!$E38)</f>
        <v/>
      </c>
      <c r="D38" s="62">
        <f>WBS!$J38</f>
        <v>3</v>
      </c>
      <c r="E38" s="63">
        <f>WBS!$M38</f>
        <v>0</v>
      </c>
      <c r="F38" s="58" t="str">
        <f>IF(OR(WBS!$F38="",WBS!$T38=""),"",IF(AND(1&gt;=WBS!$F38,1&lt;=WBS!$T38),IF(WBS!$L38="Done",3,IF(WBS!$L38="Doing",2,IF(WBS!$L38="Blocked",4,IF(WBS!$L38="Deferred",5,1)))),""))</f>
        <v/>
      </c>
      <c r="G38" s="58" t="str">
        <f>IF(OR(WBS!$F38="",WBS!$T38=""),"",IF(AND(2&gt;=WBS!$F38,2&lt;=WBS!$T38),IF(WBS!$L38="Done",3,IF(WBS!$L38="Doing",2,IF(WBS!$L38="Blocked",4,IF(WBS!$L38="Deferred",5,1)))),""))</f>
        <v/>
      </c>
      <c r="H38" s="58" t="str">
        <f>IF(OR(WBS!$F38="",WBS!$T38=""),"",IF(AND(3&gt;=WBS!$F38,3&lt;=WBS!$T38),IF(WBS!$L38="Done",3,IF(WBS!$L38="Doing",2,IF(WBS!$L38="Blocked",4,IF(WBS!$L38="Deferred",5,1)))),""))</f>
        <v/>
      </c>
      <c r="I38" s="58" t="str">
        <f>IF(OR(WBS!$F38="",WBS!$T38=""),"",IF(AND(4&gt;=WBS!$F38,4&lt;=WBS!$T38),IF(WBS!$L38="Done",3,IF(WBS!$L38="Doing",2,IF(WBS!$L38="Blocked",4,IF(WBS!$L38="Deferred",5,1)))),""))</f>
        <v/>
      </c>
      <c r="J38" s="58">
        <f>IF(OR(WBS!$F38="",WBS!$T38=""),"",IF(AND(5&gt;=WBS!$F38,5&lt;=WBS!$T38),IF(WBS!$L38="Done",3,IF(WBS!$L38="Doing",2,IF(WBS!$L38="Blocked",4,IF(WBS!$L38="Deferred",5,1)))),""))</f>
        <v>1</v>
      </c>
      <c r="K38" s="58" t="str">
        <f>IF(OR(WBS!$F38="",WBS!$T38=""),"",IF(AND(6&gt;=WBS!$F38,6&lt;=WBS!$T38),IF(WBS!$L38="Done",3,IF(WBS!$L38="Doing",2,IF(WBS!$L38="Blocked",4,IF(WBS!$L38="Deferred",5,1)))),""))</f>
        <v/>
      </c>
      <c r="L38" s="58" t="str">
        <f>IF(OR(WBS!$F38="",WBS!$T38=""),"",IF(AND(7&gt;=WBS!$F38,7&lt;=WBS!$T38),IF(WBS!$L38="Done",3,IF(WBS!$L38="Doing",2,IF(WBS!$L38="Blocked",4,IF(WBS!$L38="Deferred",5,1)))),""))</f>
        <v/>
      </c>
      <c r="M38" s="58" t="str">
        <f>IF(OR(WBS!$F38="",WBS!$T38=""),"",IF(AND(8&gt;=WBS!$F38,8&lt;=WBS!$T38),IF(WBS!$L38="Done",3,IF(WBS!$L38="Doing",2,IF(WBS!$L38="Blocked",4,IF(WBS!$L38="Deferred",5,1)))),""))</f>
        <v/>
      </c>
      <c r="N38" s="58" t="str">
        <f>IF(OR(WBS!$F38="",WBS!$T38=""),"",IF(AND(9&gt;=WBS!$F38,9&lt;=WBS!$T38),IF(WBS!$L38="Done",3,IF(WBS!$L38="Doing",2,IF(WBS!$L38="Blocked",4,IF(WBS!$L38="Deferred",5,1)))),""))</f>
        <v/>
      </c>
      <c r="O38" s="58" t="str">
        <f>IF(OR(WBS!$F38="",WBS!$T38=""),"",IF(AND(10&gt;=WBS!$F38,10&lt;=WBS!$T38),IF(WBS!$L38="Done",3,IF(WBS!$L38="Doing",2,IF(WBS!$L38="Blocked",4,IF(WBS!$L38="Deferred",5,1)))),""))</f>
        <v/>
      </c>
      <c r="P38" s="58" t="str">
        <f>IF(OR(WBS!$F38="",WBS!$T38=""),"",IF(AND(11&gt;=WBS!$F38,11&lt;=WBS!$T38),IF(WBS!$L38="Done",3,IF(WBS!$L38="Doing",2,IF(WBS!$L38="Blocked",4,IF(WBS!$L38="Deferred",5,1)))),""))</f>
        <v/>
      </c>
      <c r="Q38" s="58" t="str">
        <f>IF(OR(WBS!$F38="",WBS!$T38=""),"",IF(AND(12&gt;=WBS!$F38,12&lt;=WBS!$T38),IF(WBS!$L38="Done",3,IF(WBS!$L38="Doing",2,IF(WBS!$L38="Blocked",4,IF(WBS!$L38="Deferred",5,1)))),""))</f>
        <v/>
      </c>
      <c r="R38" s="58" t="str">
        <f>IF(OR(WBS!$F38="",WBS!$T38=""),"",IF(AND(13&gt;=WBS!$F38,13&lt;=WBS!$T38),IF(WBS!$L38="Done",3,IF(WBS!$L38="Doing",2,IF(WBS!$L38="Blocked",4,IF(WBS!$L38="Deferred",5,1)))),""))</f>
        <v/>
      </c>
      <c r="S38" s="58" t="str">
        <f>IF(OR(WBS!$F38="",WBS!$T38=""),"",IF(AND(14&gt;=WBS!$F38,14&lt;=WBS!$T38),IF(WBS!$L38="Done",3,IF(WBS!$L38="Doing",2,IF(WBS!$L38="Blocked",4,IF(WBS!$L38="Deferred",5,1)))),""))</f>
        <v/>
      </c>
      <c r="T38" s="58" t="str">
        <f>IF(OR(WBS!$F38="",WBS!$T38=""),"",IF(AND(15&gt;=WBS!$F38,15&lt;=WBS!$T38),IF(WBS!$L38="Done",3,IF(WBS!$L38="Doing",2,IF(WBS!$L38="Blocked",4,IF(WBS!$L38="Deferred",5,1)))),""))</f>
        <v/>
      </c>
      <c r="U38" s="58" t="str">
        <f>IF(OR(WBS!$F38="",WBS!$T38=""),"",IF(AND(16&gt;=WBS!$F38,16&lt;=WBS!$T38),IF(WBS!$L38="Done",3,IF(WBS!$L38="Doing",2,IF(WBS!$L38="Blocked",4,IF(WBS!$L38="Deferred",5,1)))),""))</f>
        <v/>
      </c>
      <c r="V38" s="58" t="str">
        <f>IF(OR(WBS!$F38="",WBS!$T38=""),"",IF(AND(17&gt;=WBS!$F38,17&lt;=WBS!$T38),IF(WBS!$L38="Done",3,IF(WBS!$L38="Doing",2,IF(WBS!$L38="Blocked",4,IF(WBS!$L38="Deferred",5,1)))),""))</f>
        <v/>
      </c>
      <c r="W38" s="58" t="str">
        <f>IF(OR(WBS!$F38="",WBS!$T38=""),"",IF(AND(18&gt;=WBS!$F38,18&lt;=WBS!$T38),IF(WBS!$L38="Done",3,IF(WBS!$L38="Doing",2,IF(WBS!$L38="Blocked",4,IF(WBS!$L38="Deferred",5,1)))),""))</f>
        <v/>
      </c>
      <c r="X38" s="58" t="str">
        <f>IF(OR(WBS!$F38="",WBS!$T38=""),"",IF(AND(19&gt;=WBS!$F38,19&lt;=WBS!$T38),IF(WBS!$L38="Done",3,IF(WBS!$L38="Doing",2,IF(WBS!$L38="Blocked",4,IF(WBS!$L38="Deferred",5,1)))),""))</f>
        <v/>
      </c>
      <c r="Y38" s="58" t="str">
        <f>IF(OR(WBS!$F38="",WBS!$T38=""),"",IF(AND(20&gt;=WBS!$F38,20&lt;=WBS!$T38),IF(WBS!$L38="Done",3,IF(WBS!$L38="Doing",2,IF(WBS!$L38="Blocked",4,IF(WBS!$L38="Deferred",5,1)))),""))</f>
        <v/>
      </c>
      <c r="Z38" s="58" t="str">
        <f>IF(OR(WBS!$F38="",WBS!$T38=""),"",IF(AND(21&gt;=WBS!$F38,21&lt;=WBS!$T38),IF(WBS!$L38="Done",3,IF(WBS!$L38="Doing",2,IF(WBS!$L38="Blocked",4,IF(WBS!$L38="Deferred",5,1)))),""))</f>
        <v/>
      </c>
    </row>
    <row r="39" spans="1:26" x14ac:dyDescent="0.3">
      <c r="A39" s="64" t="str">
        <f>WBS!$A39</f>
        <v>2.4.1</v>
      </c>
      <c r="B39" s="65" t="str">
        <f>WBS!$C39</f>
        <v xml:space="preserve">        Design tokens v1 - colour, status semantics, three type scales</v>
      </c>
      <c r="C39" s="66" t="str">
        <f>IF(WBS!$E39="","",WBS!$E39)</f>
        <v>UX</v>
      </c>
      <c r="D39" s="67">
        <f>WBS!$J39</f>
        <v>2</v>
      </c>
      <c r="E39" s="68">
        <f>WBS!$M39</f>
        <v>0</v>
      </c>
      <c r="F39" s="58" t="str">
        <f>IF(OR(WBS!$F39="",WBS!$T39=""),"",IF(AND(1&gt;=WBS!$F39,1&lt;=WBS!$T39),IF(WBS!$L39="Done",3,IF(WBS!$L39="Doing",2,IF(WBS!$L39="Blocked",4,IF(WBS!$L39="Deferred",5,1)))),""))</f>
        <v/>
      </c>
      <c r="G39" s="58" t="str">
        <f>IF(OR(WBS!$F39="",WBS!$T39=""),"",IF(AND(2&gt;=WBS!$F39,2&lt;=WBS!$T39),IF(WBS!$L39="Done",3,IF(WBS!$L39="Doing",2,IF(WBS!$L39="Blocked",4,IF(WBS!$L39="Deferred",5,1)))),""))</f>
        <v/>
      </c>
      <c r="H39" s="58" t="str">
        <f>IF(OR(WBS!$F39="",WBS!$T39=""),"",IF(AND(3&gt;=WBS!$F39,3&lt;=WBS!$T39),IF(WBS!$L39="Done",3,IF(WBS!$L39="Doing",2,IF(WBS!$L39="Blocked",4,IF(WBS!$L39="Deferred",5,1)))),""))</f>
        <v/>
      </c>
      <c r="I39" s="58" t="str">
        <f>IF(OR(WBS!$F39="",WBS!$T39=""),"",IF(AND(4&gt;=WBS!$F39,4&lt;=WBS!$T39),IF(WBS!$L39="Done",3,IF(WBS!$L39="Doing",2,IF(WBS!$L39="Blocked",4,IF(WBS!$L39="Deferred",5,1)))),""))</f>
        <v/>
      </c>
      <c r="J39" s="58">
        <f>IF(OR(WBS!$F39="",WBS!$T39=""),"",IF(AND(5&gt;=WBS!$F39,5&lt;=WBS!$T39),IF(WBS!$L39="Done",3,IF(WBS!$L39="Doing",2,IF(WBS!$L39="Blocked",4,IF(WBS!$L39="Deferred",5,1)))),""))</f>
        <v>1</v>
      </c>
      <c r="K39" s="58" t="str">
        <f>IF(OR(WBS!$F39="",WBS!$T39=""),"",IF(AND(6&gt;=WBS!$F39,6&lt;=WBS!$T39),IF(WBS!$L39="Done",3,IF(WBS!$L39="Doing",2,IF(WBS!$L39="Blocked",4,IF(WBS!$L39="Deferred",5,1)))),""))</f>
        <v/>
      </c>
      <c r="L39" s="58" t="str">
        <f>IF(OR(WBS!$F39="",WBS!$T39=""),"",IF(AND(7&gt;=WBS!$F39,7&lt;=WBS!$T39),IF(WBS!$L39="Done",3,IF(WBS!$L39="Doing",2,IF(WBS!$L39="Blocked",4,IF(WBS!$L39="Deferred",5,1)))),""))</f>
        <v/>
      </c>
      <c r="M39" s="58" t="str">
        <f>IF(OR(WBS!$F39="",WBS!$T39=""),"",IF(AND(8&gt;=WBS!$F39,8&lt;=WBS!$T39),IF(WBS!$L39="Done",3,IF(WBS!$L39="Doing",2,IF(WBS!$L39="Blocked",4,IF(WBS!$L39="Deferred",5,1)))),""))</f>
        <v/>
      </c>
      <c r="N39" s="58" t="str">
        <f>IF(OR(WBS!$F39="",WBS!$T39=""),"",IF(AND(9&gt;=WBS!$F39,9&lt;=WBS!$T39),IF(WBS!$L39="Done",3,IF(WBS!$L39="Doing",2,IF(WBS!$L39="Blocked",4,IF(WBS!$L39="Deferred",5,1)))),""))</f>
        <v/>
      </c>
      <c r="O39" s="58" t="str">
        <f>IF(OR(WBS!$F39="",WBS!$T39=""),"",IF(AND(10&gt;=WBS!$F39,10&lt;=WBS!$T39),IF(WBS!$L39="Done",3,IF(WBS!$L39="Doing",2,IF(WBS!$L39="Blocked",4,IF(WBS!$L39="Deferred",5,1)))),""))</f>
        <v/>
      </c>
      <c r="P39" s="58" t="str">
        <f>IF(OR(WBS!$F39="",WBS!$T39=""),"",IF(AND(11&gt;=WBS!$F39,11&lt;=WBS!$T39),IF(WBS!$L39="Done",3,IF(WBS!$L39="Doing",2,IF(WBS!$L39="Blocked",4,IF(WBS!$L39="Deferred",5,1)))),""))</f>
        <v/>
      </c>
      <c r="Q39" s="58" t="str">
        <f>IF(OR(WBS!$F39="",WBS!$T39=""),"",IF(AND(12&gt;=WBS!$F39,12&lt;=WBS!$T39),IF(WBS!$L39="Done",3,IF(WBS!$L39="Doing",2,IF(WBS!$L39="Blocked",4,IF(WBS!$L39="Deferred",5,1)))),""))</f>
        <v/>
      </c>
      <c r="R39" s="58" t="str">
        <f>IF(OR(WBS!$F39="",WBS!$T39=""),"",IF(AND(13&gt;=WBS!$F39,13&lt;=WBS!$T39),IF(WBS!$L39="Done",3,IF(WBS!$L39="Doing",2,IF(WBS!$L39="Blocked",4,IF(WBS!$L39="Deferred",5,1)))),""))</f>
        <v/>
      </c>
      <c r="S39" s="58" t="str">
        <f>IF(OR(WBS!$F39="",WBS!$T39=""),"",IF(AND(14&gt;=WBS!$F39,14&lt;=WBS!$T39),IF(WBS!$L39="Done",3,IF(WBS!$L39="Doing",2,IF(WBS!$L39="Blocked",4,IF(WBS!$L39="Deferred",5,1)))),""))</f>
        <v/>
      </c>
      <c r="T39" s="58" t="str">
        <f>IF(OR(WBS!$F39="",WBS!$T39=""),"",IF(AND(15&gt;=WBS!$F39,15&lt;=WBS!$T39),IF(WBS!$L39="Done",3,IF(WBS!$L39="Doing",2,IF(WBS!$L39="Blocked",4,IF(WBS!$L39="Deferred",5,1)))),""))</f>
        <v/>
      </c>
      <c r="U39" s="58" t="str">
        <f>IF(OR(WBS!$F39="",WBS!$T39=""),"",IF(AND(16&gt;=WBS!$F39,16&lt;=WBS!$T39),IF(WBS!$L39="Done",3,IF(WBS!$L39="Doing",2,IF(WBS!$L39="Blocked",4,IF(WBS!$L39="Deferred",5,1)))),""))</f>
        <v/>
      </c>
      <c r="V39" s="58" t="str">
        <f>IF(OR(WBS!$F39="",WBS!$T39=""),"",IF(AND(17&gt;=WBS!$F39,17&lt;=WBS!$T39),IF(WBS!$L39="Done",3,IF(WBS!$L39="Doing",2,IF(WBS!$L39="Blocked",4,IF(WBS!$L39="Deferred",5,1)))),""))</f>
        <v/>
      </c>
      <c r="W39" s="58" t="str">
        <f>IF(OR(WBS!$F39="",WBS!$T39=""),"",IF(AND(18&gt;=WBS!$F39,18&lt;=WBS!$T39),IF(WBS!$L39="Done",3,IF(WBS!$L39="Doing",2,IF(WBS!$L39="Blocked",4,IF(WBS!$L39="Deferred",5,1)))),""))</f>
        <v/>
      </c>
      <c r="X39" s="58" t="str">
        <f>IF(OR(WBS!$F39="",WBS!$T39=""),"",IF(AND(19&gt;=WBS!$F39,19&lt;=WBS!$T39),IF(WBS!$L39="Done",3,IF(WBS!$L39="Doing",2,IF(WBS!$L39="Blocked",4,IF(WBS!$L39="Deferred",5,1)))),""))</f>
        <v/>
      </c>
      <c r="Y39" s="58" t="str">
        <f>IF(OR(WBS!$F39="",WBS!$T39=""),"",IF(AND(20&gt;=WBS!$F39,20&lt;=WBS!$T39),IF(WBS!$L39="Done",3,IF(WBS!$L39="Doing",2,IF(WBS!$L39="Blocked",4,IF(WBS!$L39="Deferred",5,1)))),""))</f>
        <v/>
      </c>
      <c r="Z39" s="58" t="str">
        <f>IF(OR(WBS!$F39="",WBS!$T39=""),"",IF(AND(21&gt;=WBS!$F39,21&lt;=WBS!$T39),IF(WBS!$L39="Done",3,IF(WBS!$L39="Doing",2,IF(WBS!$L39="Blocked",4,IF(WBS!$L39="Deferred",5,1)))),""))</f>
        <v/>
      </c>
    </row>
    <row r="40" spans="1:26" x14ac:dyDescent="0.3">
      <c r="A40" s="64" t="str">
        <f>WBS!$A40</f>
        <v>2.4.2</v>
      </c>
      <c r="B40" s="65" t="str">
        <f>WBS!$C40</f>
        <v xml:space="preserve">        Wireframe the six demo-critical screens</v>
      </c>
      <c r="C40" s="66" t="str">
        <f>IF(WBS!$E40="","",WBS!$E40)</f>
        <v>UX</v>
      </c>
      <c r="D40" s="67">
        <f>WBS!$J40</f>
        <v>1</v>
      </c>
      <c r="E40" s="68">
        <f>WBS!$M40</f>
        <v>0</v>
      </c>
      <c r="F40" s="58" t="str">
        <f>IF(OR(WBS!$F40="",WBS!$T40=""),"",IF(AND(1&gt;=WBS!$F40,1&lt;=WBS!$T40),IF(WBS!$L40="Done",3,IF(WBS!$L40="Doing",2,IF(WBS!$L40="Blocked",4,IF(WBS!$L40="Deferred",5,1)))),""))</f>
        <v/>
      </c>
      <c r="G40" s="58" t="str">
        <f>IF(OR(WBS!$F40="",WBS!$T40=""),"",IF(AND(2&gt;=WBS!$F40,2&lt;=WBS!$T40),IF(WBS!$L40="Done",3,IF(WBS!$L40="Doing",2,IF(WBS!$L40="Blocked",4,IF(WBS!$L40="Deferred",5,1)))),""))</f>
        <v/>
      </c>
      <c r="H40" s="58" t="str">
        <f>IF(OR(WBS!$F40="",WBS!$T40=""),"",IF(AND(3&gt;=WBS!$F40,3&lt;=WBS!$T40),IF(WBS!$L40="Done",3,IF(WBS!$L40="Doing",2,IF(WBS!$L40="Blocked",4,IF(WBS!$L40="Deferred",5,1)))),""))</f>
        <v/>
      </c>
      <c r="I40" s="58" t="str">
        <f>IF(OR(WBS!$F40="",WBS!$T40=""),"",IF(AND(4&gt;=WBS!$F40,4&lt;=WBS!$T40),IF(WBS!$L40="Done",3,IF(WBS!$L40="Doing",2,IF(WBS!$L40="Blocked",4,IF(WBS!$L40="Deferred",5,1)))),""))</f>
        <v/>
      </c>
      <c r="J40" s="58">
        <f>IF(OR(WBS!$F40="",WBS!$T40=""),"",IF(AND(5&gt;=WBS!$F40,5&lt;=WBS!$T40),IF(WBS!$L40="Done",3,IF(WBS!$L40="Doing",2,IF(WBS!$L40="Blocked",4,IF(WBS!$L40="Deferred",5,1)))),""))</f>
        <v>1</v>
      </c>
      <c r="K40" s="58" t="str">
        <f>IF(OR(WBS!$F40="",WBS!$T40=""),"",IF(AND(6&gt;=WBS!$F40,6&lt;=WBS!$T40),IF(WBS!$L40="Done",3,IF(WBS!$L40="Doing",2,IF(WBS!$L40="Blocked",4,IF(WBS!$L40="Deferred",5,1)))),""))</f>
        <v/>
      </c>
      <c r="L40" s="58" t="str">
        <f>IF(OR(WBS!$F40="",WBS!$T40=""),"",IF(AND(7&gt;=WBS!$F40,7&lt;=WBS!$T40),IF(WBS!$L40="Done",3,IF(WBS!$L40="Doing",2,IF(WBS!$L40="Blocked",4,IF(WBS!$L40="Deferred",5,1)))),""))</f>
        <v/>
      </c>
      <c r="M40" s="58" t="str">
        <f>IF(OR(WBS!$F40="",WBS!$T40=""),"",IF(AND(8&gt;=WBS!$F40,8&lt;=WBS!$T40),IF(WBS!$L40="Done",3,IF(WBS!$L40="Doing",2,IF(WBS!$L40="Blocked",4,IF(WBS!$L40="Deferred",5,1)))),""))</f>
        <v/>
      </c>
      <c r="N40" s="58" t="str">
        <f>IF(OR(WBS!$F40="",WBS!$T40=""),"",IF(AND(9&gt;=WBS!$F40,9&lt;=WBS!$T40),IF(WBS!$L40="Done",3,IF(WBS!$L40="Doing",2,IF(WBS!$L40="Blocked",4,IF(WBS!$L40="Deferred",5,1)))),""))</f>
        <v/>
      </c>
      <c r="O40" s="58" t="str">
        <f>IF(OR(WBS!$F40="",WBS!$T40=""),"",IF(AND(10&gt;=WBS!$F40,10&lt;=WBS!$T40),IF(WBS!$L40="Done",3,IF(WBS!$L40="Doing",2,IF(WBS!$L40="Blocked",4,IF(WBS!$L40="Deferred",5,1)))),""))</f>
        <v/>
      </c>
      <c r="P40" s="58" t="str">
        <f>IF(OR(WBS!$F40="",WBS!$T40=""),"",IF(AND(11&gt;=WBS!$F40,11&lt;=WBS!$T40),IF(WBS!$L40="Done",3,IF(WBS!$L40="Doing",2,IF(WBS!$L40="Blocked",4,IF(WBS!$L40="Deferred",5,1)))),""))</f>
        <v/>
      </c>
      <c r="Q40" s="58" t="str">
        <f>IF(OR(WBS!$F40="",WBS!$T40=""),"",IF(AND(12&gt;=WBS!$F40,12&lt;=WBS!$T40),IF(WBS!$L40="Done",3,IF(WBS!$L40="Doing",2,IF(WBS!$L40="Blocked",4,IF(WBS!$L40="Deferred",5,1)))),""))</f>
        <v/>
      </c>
      <c r="R40" s="58" t="str">
        <f>IF(OR(WBS!$F40="",WBS!$T40=""),"",IF(AND(13&gt;=WBS!$F40,13&lt;=WBS!$T40),IF(WBS!$L40="Done",3,IF(WBS!$L40="Doing",2,IF(WBS!$L40="Blocked",4,IF(WBS!$L40="Deferred",5,1)))),""))</f>
        <v/>
      </c>
      <c r="S40" s="58" t="str">
        <f>IF(OR(WBS!$F40="",WBS!$T40=""),"",IF(AND(14&gt;=WBS!$F40,14&lt;=WBS!$T40),IF(WBS!$L40="Done",3,IF(WBS!$L40="Doing",2,IF(WBS!$L40="Blocked",4,IF(WBS!$L40="Deferred",5,1)))),""))</f>
        <v/>
      </c>
      <c r="T40" s="58" t="str">
        <f>IF(OR(WBS!$F40="",WBS!$T40=""),"",IF(AND(15&gt;=WBS!$F40,15&lt;=WBS!$T40),IF(WBS!$L40="Done",3,IF(WBS!$L40="Doing",2,IF(WBS!$L40="Blocked",4,IF(WBS!$L40="Deferred",5,1)))),""))</f>
        <v/>
      </c>
      <c r="U40" s="58" t="str">
        <f>IF(OR(WBS!$F40="",WBS!$T40=""),"",IF(AND(16&gt;=WBS!$F40,16&lt;=WBS!$T40),IF(WBS!$L40="Done",3,IF(WBS!$L40="Doing",2,IF(WBS!$L40="Blocked",4,IF(WBS!$L40="Deferred",5,1)))),""))</f>
        <v/>
      </c>
      <c r="V40" s="58" t="str">
        <f>IF(OR(WBS!$F40="",WBS!$T40=""),"",IF(AND(17&gt;=WBS!$F40,17&lt;=WBS!$T40),IF(WBS!$L40="Done",3,IF(WBS!$L40="Doing",2,IF(WBS!$L40="Blocked",4,IF(WBS!$L40="Deferred",5,1)))),""))</f>
        <v/>
      </c>
      <c r="W40" s="58" t="str">
        <f>IF(OR(WBS!$F40="",WBS!$T40=""),"",IF(AND(18&gt;=WBS!$F40,18&lt;=WBS!$T40),IF(WBS!$L40="Done",3,IF(WBS!$L40="Doing",2,IF(WBS!$L40="Blocked",4,IF(WBS!$L40="Deferred",5,1)))),""))</f>
        <v/>
      </c>
      <c r="X40" s="58" t="str">
        <f>IF(OR(WBS!$F40="",WBS!$T40=""),"",IF(AND(19&gt;=WBS!$F40,19&lt;=WBS!$T40),IF(WBS!$L40="Done",3,IF(WBS!$L40="Doing",2,IF(WBS!$L40="Blocked",4,IF(WBS!$L40="Deferred",5,1)))),""))</f>
        <v/>
      </c>
      <c r="Y40" s="58" t="str">
        <f>IF(OR(WBS!$F40="",WBS!$T40=""),"",IF(AND(20&gt;=WBS!$F40,20&lt;=WBS!$T40),IF(WBS!$L40="Done",3,IF(WBS!$L40="Doing",2,IF(WBS!$L40="Blocked",4,IF(WBS!$L40="Deferred",5,1)))),""))</f>
        <v/>
      </c>
      <c r="Z40" s="58" t="str">
        <f>IF(OR(WBS!$F40="",WBS!$T40=""),"",IF(AND(21&gt;=WBS!$F40,21&lt;=WBS!$T40),IF(WBS!$L40="Done",3,IF(WBS!$L40="Doing",2,IF(WBS!$L40="Blocked",4,IF(WBS!$L40="Deferred",5,1)))),""))</f>
        <v/>
      </c>
    </row>
    <row r="41" spans="1:26" x14ac:dyDescent="0.3">
      <c r="A41" s="53" t="str">
        <f>WBS!$A41</f>
        <v>3</v>
      </c>
      <c r="B41" s="54" t="str">
        <f>WBS!$C41</f>
        <v>Backend Spine</v>
      </c>
      <c r="C41" s="55" t="str">
        <f>IF(WBS!$E41="","",WBS!$E41)</f>
        <v/>
      </c>
      <c r="D41" s="56">
        <f>WBS!$J41</f>
        <v>17</v>
      </c>
      <c r="E41" s="57">
        <f>WBS!$M41</f>
        <v>0</v>
      </c>
      <c r="F41" s="58" t="str">
        <f>IF(OR(WBS!$F41="",WBS!$T41=""),"",IF(AND(1&gt;=WBS!$F41,1&lt;=WBS!$T41),IF(WBS!$L41="Done",3,IF(WBS!$L41="Doing",2,IF(WBS!$L41="Blocked",4,IF(WBS!$L41="Deferred",5,1)))),""))</f>
        <v/>
      </c>
      <c r="G41" s="58" t="str">
        <f>IF(OR(WBS!$F41="",WBS!$T41=""),"",IF(AND(2&gt;=WBS!$F41,2&lt;=WBS!$T41),IF(WBS!$L41="Done",3,IF(WBS!$L41="Doing",2,IF(WBS!$L41="Blocked",4,IF(WBS!$L41="Deferred",5,1)))),""))</f>
        <v/>
      </c>
      <c r="H41" s="58" t="str">
        <f>IF(OR(WBS!$F41="",WBS!$T41=""),"",IF(AND(3&gt;=WBS!$F41,3&lt;=WBS!$T41),IF(WBS!$L41="Done",3,IF(WBS!$L41="Doing",2,IF(WBS!$L41="Blocked",4,IF(WBS!$L41="Deferred",5,1)))),""))</f>
        <v/>
      </c>
      <c r="I41" s="58" t="str">
        <f>IF(OR(WBS!$F41="",WBS!$T41=""),"",IF(AND(4&gt;=WBS!$F41,4&lt;=WBS!$T41),IF(WBS!$L41="Done",3,IF(WBS!$L41="Doing",2,IF(WBS!$L41="Blocked",4,IF(WBS!$L41="Deferred",5,1)))),""))</f>
        <v/>
      </c>
      <c r="J41" s="58" t="str">
        <f>IF(OR(WBS!$F41="",WBS!$T41=""),"",IF(AND(5&gt;=WBS!$F41,5&lt;=WBS!$T41),IF(WBS!$L41="Done",3,IF(WBS!$L41="Doing",2,IF(WBS!$L41="Blocked",4,IF(WBS!$L41="Deferred",5,1)))),""))</f>
        <v/>
      </c>
      <c r="K41" s="58">
        <f>IF(OR(WBS!$F41="",WBS!$T41=""),"",IF(AND(6&gt;=WBS!$F41,6&lt;=WBS!$T41),IF(WBS!$L41="Done",3,IF(WBS!$L41="Doing",2,IF(WBS!$L41="Blocked",4,IF(WBS!$L41="Deferred",5,1)))),""))</f>
        <v>1</v>
      </c>
      <c r="L41" s="58">
        <f>IF(OR(WBS!$F41="",WBS!$T41=""),"",IF(AND(7&gt;=WBS!$F41,7&lt;=WBS!$T41),IF(WBS!$L41="Done",3,IF(WBS!$L41="Doing",2,IF(WBS!$L41="Blocked",4,IF(WBS!$L41="Deferred",5,1)))),""))</f>
        <v>1</v>
      </c>
      <c r="M41" s="58" t="str">
        <f>IF(OR(WBS!$F41="",WBS!$T41=""),"",IF(AND(8&gt;=WBS!$F41,8&lt;=WBS!$T41),IF(WBS!$L41="Done",3,IF(WBS!$L41="Doing",2,IF(WBS!$L41="Blocked",4,IF(WBS!$L41="Deferred",5,1)))),""))</f>
        <v/>
      </c>
      <c r="N41" s="58" t="str">
        <f>IF(OR(WBS!$F41="",WBS!$T41=""),"",IF(AND(9&gt;=WBS!$F41,9&lt;=WBS!$T41),IF(WBS!$L41="Done",3,IF(WBS!$L41="Doing",2,IF(WBS!$L41="Blocked",4,IF(WBS!$L41="Deferred",5,1)))),""))</f>
        <v/>
      </c>
      <c r="O41" s="58" t="str">
        <f>IF(OR(WBS!$F41="",WBS!$T41=""),"",IF(AND(10&gt;=WBS!$F41,10&lt;=WBS!$T41),IF(WBS!$L41="Done",3,IF(WBS!$L41="Doing",2,IF(WBS!$L41="Blocked",4,IF(WBS!$L41="Deferred",5,1)))),""))</f>
        <v/>
      </c>
      <c r="P41" s="58" t="str">
        <f>IF(OR(WBS!$F41="",WBS!$T41=""),"",IF(AND(11&gt;=WBS!$F41,11&lt;=WBS!$T41),IF(WBS!$L41="Done",3,IF(WBS!$L41="Doing",2,IF(WBS!$L41="Blocked",4,IF(WBS!$L41="Deferred",5,1)))),""))</f>
        <v/>
      </c>
      <c r="Q41" s="58" t="str">
        <f>IF(OR(WBS!$F41="",WBS!$T41=""),"",IF(AND(12&gt;=WBS!$F41,12&lt;=WBS!$T41),IF(WBS!$L41="Done",3,IF(WBS!$L41="Doing",2,IF(WBS!$L41="Blocked",4,IF(WBS!$L41="Deferred",5,1)))),""))</f>
        <v/>
      </c>
      <c r="R41" s="58" t="str">
        <f>IF(OR(WBS!$F41="",WBS!$T41=""),"",IF(AND(13&gt;=WBS!$F41,13&lt;=WBS!$T41),IF(WBS!$L41="Done",3,IF(WBS!$L41="Doing",2,IF(WBS!$L41="Blocked",4,IF(WBS!$L41="Deferred",5,1)))),""))</f>
        <v/>
      </c>
      <c r="S41" s="58" t="str">
        <f>IF(OR(WBS!$F41="",WBS!$T41=""),"",IF(AND(14&gt;=WBS!$F41,14&lt;=WBS!$T41),IF(WBS!$L41="Done",3,IF(WBS!$L41="Doing",2,IF(WBS!$L41="Blocked",4,IF(WBS!$L41="Deferred",5,1)))),""))</f>
        <v/>
      </c>
      <c r="T41" s="58" t="str">
        <f>IF(OR(WBS!$F41="",WBS!$T41=""),"",IF(AND(15&gt;=WBS!$F41,15&lt;=WBS!$T41),IF(WBS!$L41="Done",3,IF(WBS!$L41="Doing",2,IF(WBS!$L41="Blocked",4,IF(WBS!$L41="Deferred",5,1)))),""))</f>
        <v/>
      </c>
      <c r="U41" s="58" t="str">
        <f>IF(OR(WBS!$F41="",WBS!$T41=""),"",IF(AND(16&gt;=WBS!$F41,16&lt;=WBS!$T41),IF(WBS!$L41="Done",3,IF(WBS!$L41="Doing",2,IF(WBS!$L41="Blocked",4,IF(WBS!$L41="Deferred",5,1)))),""))</f>
        <v/>
      </c>
      <c r="V41" s="58" t="str">
        <f>IF(OR(WBS!$F41="",WBS!$T41=""),"",IF(AND(17&gt;=WBS!$F41,17&lt;=WBS!$T41),IF(WBS!$L41="Done",3,IF(WBS!$L41="Doing",2,IF(WBS!$L41="Blocked",4,IF(WBS!$L41="Deferred",5,1)))),""))</f>
        <v/>
      </c>
      <c r="W41" s="58" t="str">
        <f>IF(OR(WBS!$F41="",WBS!$T41=""),"",IF(AND(18&gt;=WBS!$F41,18&lt;=WBS!$T41),IF(WBS!$L41="Done",3,IF(WBS!$L41="Doing",2,IF(WBS!$L41="Blocked",4,IF(WBS!$L41="Deferred",5,1)))),""))</f>
        <v/>
      </c>
      <c r="X41" s="58" t="str">
        <f>IF(OR(WBS!$F41="",WBS!$T41=""),"",IF(AND(19&gt;=WBS!$F41,19&lt;=WBS!$T41),IF(WBS!$L41="Done",3,IF(WBS!$L41="Doing",2,IF(WBS!$L41="Blocked",4,IF(WBS!$L41="Deferred",5,1)))),""))</f>
        <v/>
      </c>
      <c r="Y41" s="58" t="str">
        <f>IF(OR(WBS!$F41="",WBS!$T41=""),"",IF(AND(20&gt;=WBS!$F41,20&lt;=WBS!$T41),IF(WBS!$L41="Done",3,IF(WBS!$L41="Doing",2,IF(WBS!$L41="Blocked",4,IF(WBS!$L41="Deferred",5,1)))),""))</f>
        <v/>
      </c>
      <c r="Z41" s="58" t="str">
        <f>IF(OR(WBS!$F41="",WBS!$T41=""),"",IF(AND(21&gt;=WBS!$F41,21&lt;=WBS!$T41),IF(WBS!$L41="Done",3,IF(WBS!$L41="Doing",2,IF(WBS!$L41="Blocked",4,IF(WBS!$L41="Deferred",5,1)))),""))</f>
        <v/>
      </c>
    </row>
    <row r="42" spans="1:26" x14ac:dyDescent="0.3">
      <c r="A42" s="59" t="str">
        <f>WBS!$A42</f>
        <v>3.1</v>
      </c>
      <c r="B42" s="60" t="str">
        <f>WBS!$C42</f>
        <v xml:space="preserve">    Solution foundation</v>
      </c>
      <c r="C42" s="61" t="str">
        <f>IF(WBS!$E42="","",WBS!$E42)</f>
        <v/>
      </c>
      <c r="D42" s="62">
        <f>WBS!$J42</f>
        <v>5</v>
      </c>
      <c r="E42" s="63">
        <f>WBS!$M42</f>
        <v>0</v>
      </c>
      <c r="F42" s="58" t="str">
        <f>IF(OR(WBS!$F42="",WBS!$T42=""),"",IF(AND(1&gt;=WBS!$F42,1&lt;=WBS!$T42),IF(WBS!$L42="Done",3,IF(WBS!$L42="Doing",2,IF(WBS!$L42="Blocked",4,IF(WBS!$L42="Deferred",5,1)))),""))</f>
        <v/>
      </c>
      <c r="G42" s="58" t="str">
        <f>IF(OR(WBS!$F42="",WBS!$T42=""),"",IF(AND(2&gt;=WBS!$F42,2&lt;=WBS!$T42),IF(WBS!$L42="Done",3,IF(WBS!$L42="Doing",2,IF(WBS!$L42="Blocked",4,IF(WBS!$L42="Deferred",5,1)))),""))</f>
        <v/>
      </c>
      <c r="H42" s="58" t="str">
        <f>IF(OR(WBS!$F42="",WBS!$T42=""),"",IF(AND(3&gt;=WBS!$F42,3&lt;=WBS!$T42),IF(WBS!$L42="Done",3,IF(WBS!$L42="Doing",2,IF(WBS!$L42="Blocked",4,IF(WBS!$L42="Deferred",5,1)))),""))</f>
        <v/>
      </c>
      <c r="I42" s="58" t="str">
        <f>IF(OR(WBS!$F42="",WBS!$T42=""),"",IF(AND(4&gt;=WBS!$F42,4&lt;=WBS!$T42),IF(WBS!$L42="Done",3,IF(WBS!$L42="Doing",2,IF(WBS!$L42="Blocked",4,IF(WBS!$L42="Deferred",5,1)))),""))</f>
        <v/>
      </c>
      <c r="J42" s="58" t="str">
        <f>IF(OR(WBS!$F42="",WBS!$T42=""),"",IF(AND(5&gt;=WBS!$F42,5&lt;=WBS!$T42),IF(WBS!$L42="Done",3,IF(WBS!$L42="Doing",2,IF(WBS!$L42="Blocked",4,IF(WBS!$L42="Deferred",5,1)))),""))</f>
        <v/>
      </c>
      <c r="K42" s="58">
        <f>IF(OR(WBS!$F42="",WBS!$T42=""),"",IF(AND(6&gt;=WBS!$F42,6&lt;=WBS!$T42),IF(WBS!$L42="Done",3,IF(WBS!$L42="Doing",2,IF(WBS!$L42="Blocked",4,IF(WBS!$L42="Deferred",5,1)))),""))</f>
        <v>1</v>
      </c>
      <c r="L42" s="58" t="str">
        <f>IF(OR(WBS!$F42="",WBS!$T42=""),"",IF(AND(7&gt;=WBS!$F42,7&lt;=WBS!$T42),IF(WBS!$L42="Done",3,IF(WBS!$L42="Doing",2,IF(WBS!$L42="Blocked",4,IF(WBS!$L42="Deferred",5,1)))),""))</f>
        <v/>
      </c>
      <c r="M42" s="58" t="str">
        <f>IF(OR(WBS!$F42="",WBS!$T42=""),"",IF(AND(8&gt;=WBS!$F42,8&lt;=WBS!$T42),IF(WBS!$L42="Done",3,IF(WBS!$L42="Doing",2,IF(WBS!$L42="Blocked",4,IF(WBS!$L42="Deferred",5,1)))),""))</f>
        <v/>
      </c>
      <c r="N42" s="58" t="str">
        <f>IF(OR(WBS!$F42="",WBS!$T42=""),"",IF(AND(9&gt;=WBS!$F42,9&lt;=WBS!$T42),IF(WBS!$L42="Done",3,IF(WBS!$L42="Doing",2,IF(WBS!$L42="Blocked",4,IF(WBS!$L42="Deferred",5,1)))),""))</f>
        <v/>
      </c>
      <c r="O42" s="58" t="str">
        <f>IF(OR(WBS!$F42="",WBS!$T42=""),"",IF(AND(10&gt;=WBS!$F42,10&lt;=WBS!$T42),IF(WBS!$L42="Done",3,IF(WBS!$L42="Doing",2,IF(WBS!$L42="Blocked",4,IF(WBS!$L42="Deferred",5,1)))),""))</f>
        <v/>
      </c>
      <c r="P42" s="58" t="str">
        <f>IF(OR(WBS!$F42="",WBS!$T42=""),"",IF(AND(11&gt;=WBS!$F42,11&lt;=WBS!$T42),IF(WBS!$L42="Done",3,IF(WBS!$L42="Doing",2,IF(WBS!$L42="Blocked",4,IF(WBS!$L42="Deferred",5,1)))),""))</f>
        <v/>
      </c>
      <c r="Q42" s="58" t="str">
        <f>IF(OR(WBS!$F42="",WBS!$T42=""),"",IF(AND(12&gt;=WBS!$F42,12&lt;=WBS!$T42),IF(WBS!$L42="Done",3,IF(WBS!$L42="Doing",2,IF(WBS!$L42="Blocked",4,IF(WBS!$L42="Deferred",5,1)))),""))</f>
        <v/>
      </c>
      <c r="R42" s="58" t="str">
        <f>IF(OR(WBS!$F42="",WBS!$T42=""),"",IF(AND(13&gt;=WBS!$F42,13&lt;=WBS!$T42),IF(WBS!$L42="Done",3,IF(WBS!$L42="Doing",2,IF(WBS!$L42="Blocked",4,IF(WBS!$L42="Deferred",5,1)))),""))</f>
        <v/>
      </c>
      <c r="S42" s="58" t="str">
        <f>IF(OR(WBS!$F42="",WBS!$T42=""),"",IF(AND(14&gt;=WBS!$F42,14&lt;=WBS!$T42),IF(WBS!$L42="Done",3,IF(WBS!$L42="Doing",2,IF(WBS!$L42="Blocked",4,IF(WBS!$L42="Deferred",5,1)))),""))</f>
        <v/>
      </c>
      <c r="T42" s="58" t="str">
        <f>IF(OR(WBS!$F42="",WBS!$T42=""),"",IF(AND(15&gt;=WBS!$F42,15&lt;=WBS!$T42),IF(WBS!$L42="Done",3,IF(WBS!$L42="Doing",2,IF(WBS!$L42="Blocked",4,IF(WBS!$L42="Deferred",5,1)))),""))</f>
        <v/>
      </c>
      <c r="U42" s="58" t="str">
        <f>IF(OR(WBS!$F42="",WBS!$T42=""),"",IF(AND(16&gt;=WBS!$F42,16&lt;=WBS!$T42),IF(WBS!$L42="Done",3,IF(WBS!$L42="Doing",2,IF(WBS!$L42="Blocked",4,IF(WBS!$L42="Deferred",5,1)))),""))</f>
        <v/>
      </c>
      <c r="V42" s="58" t="str">
        <f>IF(OR(WBS!$F42="",WBS!$T42=""),"",IF(AND(17&gt;=WBS!$F42,17&lt;=WBS!$T42),IF(WBS!$L42="Done",3,IF(WBS!$L42="Doing",2,IF(WBS!$L42="Blocked",4,IF(WBS!$L42="Deferred",5,1)))),""))</f>
        <v/>
      </c>
      <c r="W42" s="58" t="str">
        <f>IF(OR(WBS!$F42="",WBS!$T42=""),"",IF(AND(18&gt;=WBS!$F42,18&lt;=WBS!$T42),IF(WBS!$L42="Done",3,IF(WBS!$L42="Doing",2,IF(WBS!$L42="Blocked",4,IF(WBS!$L42="Deferred",5,1)))),""))</f>
        <v/>
      </c>
      <c r="X42" s="58" t="str">
        <f>IF(OR(WBS!$F42="",WBS!$T42=""),"",IF(AND(19&gt;=WBS!$F42,19&lt;=WBS!$T42),IF(WBS!$L42="Done",3,IF(WBS!$L42="Doing",2,IF(WBS!$L42="Blocked",4,IF(WBS!$L42="Deferred",5,1)))),""))</f>
        <v/>
      </c>
      <c r="Y42" s="58" t="str">
        <f>IF(OR(WBS!$F42="",WBS!$T42=""),"",IF(AND(20&gt;=WBS!$F42,20&lt;=WBS!$T42),IF(WBS!$L42="Done",3,IF(WBS!$L42="Doing",2,IF(WBS!$L42="Blocked",4,IF(WBS!$L42="Deferred",5,1)))),""))</f>
        <v/>
      </c>
      <c r="Z42" s="58" t="str">
        <f>IF(OR(WBS!$F42="",WBS!$T42=""),"",IF(AND(21&gt;=WBS!$F42,21&lt;=WBS!$T42),IF(WBS!$L42="Done",3,IF(WBS!$L42="Doing",2,IF(WBS!$L42="Blocked",4,IF(WBS!$L42="Deferred",5,1)))),""))</f>
        <v/>
      </c>
    </row>
    <row r="43" spans="1:26" x14ac:dyDescent="0.3">
      <c r="A43" s="64" t="str">
        <f>WBS!$A43</f>
        <v>3.1.1</v>
      </c>
      <c r="B43" s="65" t="str">
        <f>WBS!$C43</f>
        <v xml:space="preserve">        Scaffold .NET solution Domain, Application, Infrastructure, Api</v>
      </c>
      <c r="C43" s="66" t="str">
        <f>IF(WBS!$E43="","",WBS!$E43)</f>
        <v>BE</v>
      </c>
      <c r="D43" s="67">
        <f>WBS!$J43</f>
        <v>1.5</v>
      </c>
      <c r="E43" s="68">
        <f>WBS!$M43</f>
        <v>0</v>
      </c>
      <c r="F43" s="58" t="str">
        <f>IF(OR(WBS!$F43="",WBS!$T43=""),"",IF(AND(1&gt;=WBS!$F43,1&lt;=WBS!$T43),IF(WBS!$L43="Done",3,IF(WBS!$L43="Doing",2,IF(WBS!$L43="Blocked",4,IF(WBS!$L43="Deferred",5,1)))),""))</f>
        <v/>
      </c>
      <c r="G43" s="58" t="str">
        <f>IF(OR(WBS!$F43="",WBS!$T43=""),"",IF(AND(2&gt;=WBS!$F43,2&lt;=WBS!$T43),IF(WBS!$L43="Done",3,IF(WBS!$L43="Doing",2,IF(WBS!$L43="Blocked",4,IF(WBS!$L43="Deferred",5,1)))),""))</f>
        <v/>
      </c>
      <c r="H43" s="58" t="str">
        <f>IF(OR(WBS!$F43="",WBS!$T43=""),"",IF(AND(3&gt;=WBS!$F43,3&lt;=WBS!$T43),IF(WBS!$L43="Done",3,IF(WBS!$L43="Doing",2,IF(WBS!$L43="Blocked",4,IF(WBS!$L43="Deferred",5,1)))),""))</f>
        <v/>
      </c>
      <c r="I43" s="58" t="str">
        <f>IF(OR(WBS!$F43="",WBS!$T43=""),"",IF(AND(4&gt;=WBS!$F43,4&lt;=WBS!$T43),IF(WBS!$L43="Done",3,IF(WBS!$L43="Doing",2,IF(WBS!$L43="Blocked",4,IF(WBS!$L43="Deferred",5,1)))),""))</f>
        <v/>
      </c>
      <c r="J43" s="58" t="str">
        <f>IF(OR(WBS!$F43="",WBS!$T43=""),"",IF(AND(5&gt;=WBS!$F43,5&lt;=WBS!$T43),IF(WBS!$L43="Done",3,IF(WBS!$L43="Doing",2,IF(WBS!$L43="Blocked",4,IF(WBS!$L43="Deferred",5,1)))),""))</f>
        <v/>
      </c>
      <c r="K43" s="58">
        <f>IF(OR(WBS!$F43="",WBS!$T43=""),"",IF(AND(6&gt;=WBS!$F43,6&lt;=WBS!$T43),IF(WBS!$L43="Done",3,IF(WBS!$L43="Doing",2,IF(WBS!$L43="Blocked",4,IF(WBS!$L43="Deferred",5,1)))),""))</f>
        <v>1</v>
      </c>
      <c r="L43" s="58" t="str">
        <f>IF(OR(WBS!$F43="",WBS!$T43=""),"",IF(AND(7&gt;=WBS!$F43,7&lt;=WBS!$T43),IF(WBS!$L43="Done",3,IF(WBS!$L43="Doing",2,IF(WBS!$L43="Blocked",4,IF(WBS!$L43="Deferred",5,1)))),""))</f>
        <v/>
      </c>
      <c r="M43" s="58" t="str">
        <f>IF(OR(WBS!$F43="",WBS!$T43=""),"",IF(AND(8&gt;=WBS!$F43,8&lt;=WBS!$T43),IF(WBS!$L43="Done",3,IF(WBS!$L43="Doing",2,IF(WBS!$L43="Blocked",4,IF(WBS!$L43="Deferred",5,1)))),""))</f>
        <v/>
      </c>
      <c r="N43" s="58" t="str">
        <f>IF(OR(WBS!$F43="",WBS!$T43=""),"",IF(AND(9&gt;=WBS!$F43,9&lt;=WBS!$T43),IF(WBS!$L43="Done",3,IF(WBS!$L43="Doing",2,IF(WBS!$L43="Blocked",4,IF(WBS!$L43="Deferred",5,1)))),""))</f>
        <v/>
      </c>
      <c r="O43" s="58" t="str">
        <f>IF(OR(WBS!$F43="",WBS!$T43=""),"",IF(AND(10&gt;=WBS!$F43,10&lt;=WBS!$T43),IF(WBS!$L43="Done",3,IF(WBS!$L43="Doing",2,IF(WBS!$L43="Blocked",4,IF(WBS!$L43="Deferred",5,1)))),""))</f>
        <v/>
      </c>
      <c r="P43" s="58" t="str">
        <f>IF(OR(WBS!$F43="",WBS!$T43=""),"",IF(AND(11&gt;=WBS!$F43,11&lt;=WBS!$T43),IF(WBS!$L43="Done",3,IF(WBS!$L43="Doing",2,IF(WBS!$L43="Blocked",4,IF(WBS!$L43="Deferred",5,1)))),""))</f>
        <v/>
      </c>
      <c r="Q43" s="58" t="str">
        <f>IF(OR(WBS!$F43="",WBS!$T43=""),"",IF(AND(12&gt;=WBS!$F43,12&lt;=WBS!$T43),IF(WBS!$L43="Done",3,IF(WBS!$L43="Doing",2,IF(WBS!$L43="Blocked",4,IF(WBS!$L43="Deferred",5,1)))),""))</f>
        <v/>
      </c>
      <c r="R43" s="58" t="str">
        <f>IF(OR(WBS!$F43="",WBS!$T43=""),"",IF(AND(13&gt;=WBS!$F43,13&lt;=WBS!$T43),IF(WBS!$L43="Done",3,IF(WBS!$L43="Doing",2,IF(WBS!$L43="Blocked",4,IF(WBS!$L43="Deferred",5,1)))),""))</f>
        <v/>
      </c>
      <c r="S43" s="58" t="str">
        <f>IF(OR(WBS!$F43="",WBS!$T43=""),"",IF(AND(14&gt;=WBS!$F43,14&lt;=WBS!$T43),IF(WBS!$L43="Done",3,IF(WBS!$L43="Doing",2,IF(WBS!$L43="Blocked",4,IF(WBS!$L43="Deferred",5,1)))),""))</f>
        <v/>
      </c>
      <c r="T43" s="58" t="str">
        <f>IF(OR(WBS!$F43="",WBS!$T43=""),"",IF(AND(15&gt;=WBS!$F43,15&lt;=WBS!$T43),IF(WBS!$L43="Done",3,IF(WBS!$L43="Doing",2,IF(WBS!$L43="Blocked",4,IF(WBS!$L43="Deferred",5,1)))),""))</f>
        <v/>
      </c>
      <c r="U43" s="58" t="str">
        <f>IF(OR(WBS!$F43="",WBS!$T43=""),"",IF(AND(16&gt;=WBS!$F43,16&lt;=WBS!$T43),IF(WBS!$L43="Done",3,IF(WBS!$L43="Doing",2,IF(WBS!$L43="Blocked",4,IF(WBS!$L43="Deferred",5,1)))),""))</f>
        <v/>
      </c>
      <c r="V43" s="58" t="str">
        <f>IF(OR(WBS!$F43="",WBS!$T43=""),"",IF(AND(17&gt;=WBS!$F43,17&lt;=WBS!$T43),IF(WBS!$L43="Done",3,IF(WBS!$L43="Doing",2,IF(WBS!$L43="Blocked",4,IF(WBS!$L43="Deferred",5,1)))),""))</f>
        <v/>
      </c>
      <c r="W43" s="58" t="str">
        <f>IF(OR(WBS!$F43="",WBS!$T43=""),"",IF(AND(18&gt;=WBS!$F43,18&lt;=WBS!$T43),IF(WBS!$L43="Done",3,IF(WBS!$L43="Doing",2,IF(WBS!$L43="Blocked",4,IF(WBS!$L43="Deferred",5,1)))),""))</f>
        <v/>
      </c>
      <c r="X43" s="58" t="str">
        <f>IF(OR(WBS!$F43="",WBS!$T43=""),"",IF(AND(19&gt;=WBS!$F43,19&lt;=WBS!$T43),IF(WBS!$L43="Done",3,IF(WBS!$L43="Doing",2,IF(WBS!$L43="Blocked",4,IF(WBS!$L43="Deferred",5,1)))),""))</f>
        <v/>
      </c>
      <c r="Y43" s="58" t="str">
        <f>IF(OR(WBS!$F43="",WBS!$T43=""),"",IF(AND(20&gt;=WBS!$F43,20&lt;=WBS!$T43),IF(WBS!$L43="Done",3,IF(WBS!$L43="Doing",2,IF(WBS!$L43="Blocked",4,IF(WBS!$L43="Deferred",5,1)))),""))</f>
        <v/>
      </c>
      <c r="Z43" s="58" t="str">
        <f>IF(OR(WBS!$F43="",WBS!$T43=""),"",IF(AND(21&gt;=WBS!$F43,21&lt;=WBS!$T43),IF(WBS!$L43="Done",3,IF(WBS!$L43="Doing",2,IF(WBS!$L43="Blocked",4,IF(WBS!$L43="Deferred",5,1)))),""))</f>
        <v/>
      </c>
    </row>
    <row r="44" spans="1:26" x14ac:dyDescent="0.3">
      <c r="A44" s="64" t="str">
        <f>WBS!$A44</f>
        <v>3.1.2</v>
      </c>
      <c r="B44" s="65" t="str">
        <f>WBS!$C44</f>
        <v xml:space="preserve">        EF Core model and first migration</v>
      </c>
      <c r="C44" s="66" t="str">
        <f>IF(WBS!$E44="","",WBS!$E44)</f>
        <v>BE</v>
      </c>
      <c r="D44" s="67">
        <f>WBS!$J44</f>
        <v>2</v>
      </c>
      <c r="E44" s="68">
        <f>WBS!$M44</f>
        <v>0</v>
      </c>
      <c r="F44" s="58" t="str">
        <f>IF(OR(WBS!$F44="",WBS!$T44=""),"",IF(AND(1&gt;=WBS!$F44,1&lt;=WBS!$T44),IF(WBS!$L44="Done",3,IF(WBS!$L44="Doing",2,IF(WBS!$L44="Blocked",4,IF(WBS!$L44="Deferred",5,1)))),""))</f>
        <v/>
      </c>
      <c r="G44" s="58" t="str">
        <f>IF(OR(WBS!$F44="",WBS!$T44=""),"",IF(AND(2&gt;=WBS!$F44,2&lt;=WBS!$T44),IF(WBS!$L44="Done",3,IF(WBS!$L44="Doing",2,IF(WBS!$L44="Blocked",4,IF(WBS!$L44="Deferred",5,1)))),""))</f>
        <v/>
      </c>
      <c r="H44" s="58" t="str">
        <f>IF(OR(WBS!$F44="",WBS!$T44=""),"",IF(AND(3&gt;=WBS!$F44,3&lt;=WBS!$T44),IF(WBS!$L44="Done",3,IF(WBS!$L44="Doing",2,IF(WBS!$L44="Blocked",4,IF(WBS!$L44="Deferred",5,1)))),""))</f>
        <v/>
      </c>
      <c r="I44" s="58" t="str">
        <f>IF(OR(WBS!$F44="",WBS!$T44=""),"",IF(AND(4&gt;=WBS!$F44,4&lt;=WBS!$T44),IF(WBS!$L44="Done",3,IF(WBS!$L44="Doing",2,IF(WBS!$L44="Blocked",4,IF(WBS!$L44="Deferred",5,1)))),""))</f>
        <v/>
      </c>
      <c r="J44" s="58" t="str">
        <f>IF(OR(WBS!$F44="",WBS!$T44=""),"",IF(AND(5&gt;=WBS!$F44,5&lt;=WBS!$T44),IF(WBS!$L44="Done",3,IF(WBS!$L44="Doing",2,IF(WBS!$L44="Blocked",4,IF(WBS!$L44="Deferred",5,1)))),""))</f>
        <v/>
      </c>
      <c r="K44" s="58">
        <f>IF(OR(WBS!$F44="",WBS!$T44=""),"",IF(AND(6&gt;=WBS!$F44,6&lt;=WBS!$T44),IF(WBS!$L44="Done",3,IF(WBS!$L44="Doing",2,IF(WBS!$L44="Blocked",4,IF(WBS!$L44="Deferred",5,1)))),""))</f>
        <v>1</v>
      </c>
      <c r="L44" s="58" t="str">
        <f>IF(OR(WBS!$F44="",WBS!$T44=""),"",IF(AND(7&gt;=WBS!$F44,7&lt;=WBS!$T44),IF(WBS!$L44="Done",3,IF(WBS!$L44="Doing",2,IF(WBS!$L44="Blocked",4,IF(WBS!$L44="Deferred",5,1)))),""))</f>
        <v/>
      </c>
      <c r="M44" s="58" t="str">
        <f>IF(OR(WBS!$F44="",WBS!$T44=""),"",IF(AND(8&gt;=WBS!$F44,8&lt;=WBS!$T44),IF(WBS!$L44="Done",3,IF(WBS!$L44="Doing",2,IF(WBS!$L44="Blocked",4,IF(WBS!$L44="Deferred",5,1)))),""))</f>
        <v/>
      </c>
      <c r="N44" s="58" t="str">
        <f>IF(OR(WBS!$F44="",WBS!$T44=""),"",IF(AND(9&gt;=WBS!$F44,9&lt;=WBS!$T44),IF(WBS!$L44="Done",3,IF(WBS!$L44="Doing",2,IF(WBS!$L44="Blocked",4,IF(WBS!$L44="Deferred",5,1)))),""))</f>
        <v/>
      </c>
      <c r="O44" s="58" t="str">
        <f>IF(OR(WBS!$F44="",WBS!$T44=""),"",IF(AND(10&gt;=WBS!$F44,10&lt;=WBS!$T44),IF(WBS!$L44="Done",3,IF(WBS!$L44="Doing",2,IF(WBS!$L44="Blocked",4,IF(WBS!$L44="Deferred",5,1)))),""))</f>
        <v/>
      </c>
      <c r="P44" s="58" t="str">
        <f>IF(OR(WBS!$F44="",WBS!$T44=""),"",IF(AND(11&gt;=WBS!$F44,11&lt;=WBS!$T44),IF(WBS!$L44="Done",3,IF(WBS!$L44="Doing",2,IF(WBS!$L44="Blocked",4,IF(WBS!$L44="Deferred",5,1)))),""))</f>
        <v/>
      </c>
      <c r="Q44" s="58" t="str">
        <f>IF(OR(WBS!$F44="",WBS!$T44=""),"",IF(AND(12&gt;=WBS!$F44,12&lt;=WBS!$T44),IF(WBS!$L44="Done",3,IF(WBS!$L44="Doing",2,IF(WBS!$L44="Blocked",4,IF(WBS!$L44="Deferred",5,1)))),""))</f>
        <v/>
      </c>
      <c r="R44" s="58" t="str">
        <f>IF(OR(WBS!$F44="",WBS!$T44=""),"",IF(AND(13&gt;=WBS!$F44,13&lt;=WBS!$T44),IF(WBS!$L44="Done",3,IF(WBS!$L44="Doing",2,IF(WBS!$L44="Blocked",4,IF(WBS!$L44="Deferred",5,1)))),""))</f>
        <v/>
      </c>
      <c r="S44" s="58" t="str">
        <f>IF(OR(WBS!$F44="",WBS!$T44=""),"",IF(AND(14&gt;=WBS!$F44,14&lt;=WBS!$T44),IF(WBS!$L44="Done",3,IF(WBS!$L44="Doing",2,IF(WBS!$L44="Blocked",4,IF(WBS!$L44="Deferred",5,1)))),""))</f>
        <v/>
      </c>
      <c r="T44" s="58" t="str">
        <f>IF(OR(WBS!$F44="",WBS!$T44=""),"",IF(AND(15&gt;=WBS!$F44,15&lt;=WBS!$T44),IF(WBS!$L44="Done",3,IF(WBS!$L44="Doing",2,IF(WBS!$L44="Blocked",4,IF(WBS!$L44="Deferred",5,1)))),""))</f>
        <v/>
      </c>
      <c r="U44" s="58" t="str">
        <f>IF(OR(WBS!$F44="",WBS!$T44=""),"",IF(AND(16&gt;=WBS!$F44,16&lt;=WBS!$T44),IF(WBS!$L44="Done",3,IF(WBS!$L44="Doing",2,IF(WBS!$L44="Blocked",4,IF(WBS!$L44="Deferred",5,1)))),""))</f>
        <v/>
      </c>
      <c r="V44" s="58" t="str">
        <f>IF(OR(WBS!$F44="",WBS!$T44=""),"",IF(AND(17&gt;=WBS!$F44,17&lt;=WBS!$T44),IF(WBS!$L44="Done",3,IF(WBS!$L44="Doing",2,IF(WBS!$L44="Blocked",4,IF(WBS!$L44="Deferred",5,1)))),""))</f>
        <v/>
      </c>
      <c r="W44" s="58" t="str">
        <f>IF(OR(WBS!$F44="",WBS!$T44=""),"",IF(AND(18&gt;=WBS!$F44,18&lt;=WBS!$T44),IF(WBS!$L44="Done",3,IF(WBS!$L44="Doing",2,IF(WBS!$L44="Blocked",4,IF(WBS!$L44="Deferred",5,1)))),""))</f>
        <v/>
      </c>
      <c r="X44" s="58" t="str">
        <f>IF(OR(WBS!$F44="",WBS!$T44=""),"",IF(AND(19&gt;=WBS!$F44,19&lt;=WBS!$T44),IF(WBS!$L44="Done",3,IF(WBS!$L44="Doing",2,IF(WBS!$L44="Blocked",4,IF(WBS!$L44="Deferred",5,1)))),""))</f>
        <v/>
      </c>
      <c r="Y44" s="58" t="str">
        <f>IF(OR(WBS!$F44="",WBS!$T44=""),"",IF(AND(20&gt;=WBS!$F44,20&lt;=WBS!$T44),IF(WBS!$L44="Done",3,IF(WBS!$L44="Doing",2,IF(WBS!$L44="Blocked",4,IF(WBS!$L44="Deferred",5,1)))),""))</f>
        <v/>
      </c>
      <c r="Z44" s="58" t="str">
        <f>IF(OR(WBS!$F44="",WBS!$T44=""),"",IF(AND(21&gt;=WBS!$F44,21&lt;=WBS!$T44),IF(WBS!$L44="Done",3,IF(WBS!$L44="Doing",2,IF(WBS!$L44="Blocked",4,IF(WBS!$L44="Deferred",5,1)))),""))</f>
        <v/>
      </c>
    </row>
    <row r="45" spans="1:26" x14ac:dyDescent="0.3">
      <c r="A45" s="64" t="str">
        <f>WBS!$A45</f>
        <v>3.1.3</v>
      </c>
      <c r="B45" s="65" t="str">
        <f>WBS!$C45</f>
        <v xml:space="preserve">        Seed network - 12 stations, 6 routes, 40 services</v>
      </c>
      <c r="C45" s="66" t="str">
        <f>IF(WBS!$E45="","",WBS!$E45)</f>
        <v>BE</v>
      </c>
      <c r="D45" s="67">
        <f>WBS!$J45</f>
        <v>1.5</v>
      </c>
      <c r="E45" s="68">
        <f>WBS!$M45</f>
        <v>0</v>
      </c>
      <c r="F45" s="58" t="str">
        <f>IF(OR(WBS!$F45="",WBS!$T45=""),"",IF(AND(1&gt;=WBS!$F45,1&lt;=WBS!$T45),IF(WBS!$L45="Done",3,IF(WBS!$L45="Doing",2,IF(WBS!$L45="Blocked",4,IF(WBS!$L45="Deferred",5,1)))),""))</f>
        <v/>
      </c>
      <c r="G45" s="58" t="str">
        <f>IF(OR(WBS!$F45="",WBS!$T45=""),"",IF(AND(2&gt;=WBS!$F45,2&lt;=WBS!$T45),IF(WBS!$L45="Done",3,IF(WBS!$L45="Doing",2,IF(WBS!$L45="Blocked",4,IF(WBS!$L45="Deferred",5,1)))),""))</f>
        <v/>
      </c>
      <c r="H45" s="58" t="str">
        <f>IF(OR(WBS!$F45="",WBS!$T45=""),"",IF(AND(3&gt;=WBS!$F45,3&lt;=WBS!$T45),IF(WBS!$L45="Done",3,IF(WBS!$L45="Doing",2,IF(WBS!$L45="Blocked",4,IF(WBS!$L45="Deferred",5,1)))),""))</f>
        <v/>
      </c>
      <c r="I45" s="58" t="str">
        <f>IF(OR(WBS!$F45="",WBS!$T45=""),"",IF(AND(4&gt;=WBS!$F45,4&lt;=WBS!$T45),IF(WBS!$L45="Done",3,IF(WBS!$L45="Doing",2,IF(WBS!$L45="Blocked",4,IF(WBS!$L45="Deferred",5,1)))),""))</f>
        <v/>
      </c>
      <c r="J45" s="58" t="str">
        <f>IF(OR(WBS!$F45="",WBS!$T45=""),"",IF(AND(5&gt;=WBS!$F45,5&lt;=WBS!$T45),IF(WBS!$L45="Done",3,IF(WBS!$L45="Doing",2,IF(WBS!$L45="Blocked",4,IF(WBS!$L45="Deferred",5,1)))),""))</f>
        <v/>
      </c>
      <c r="K45" s="58">
        <f>IF(OR(WBS!$F45="",WBS!$T45=""),"",IF(AND(6&gt;=WBS!$F45,6&lt;=WBS!$T45),IF(WBS!$L45="Done",3,IF(WBS!$L45="Doing",2,IF(WBS!$L45="Blocked",4,IF(WBS!$L45="Deferred",5,1)))),""))</f>
        <v>1</v>
      </c>
      <c r="L45" s="58" t="str">
        <f>IF(OR(WBS!$F45="",WBS!$T45=""),"",IF(AND(7&gt;=WBS!$F45,7&lt;=WBS!$T45),IF(WBS!$L45="Done",3,IF(WBS!$L45="Doing",2,IF(WBS!$L45="Blocked",4,IF(WBS!$L45="Deferred",5,1)))),""))</f>
        <v/>
      </c>
      <c r="M45" s="58" t="str">
        <f>IF(OR(WBS!$F45="",WBS!$T45=""),"",IF(AND(8&gt;=WBS!$F45,8&lt;=WBS!$T45),IF(WBS!$L45="Done",3,IF(WBS!$L45="Doing",2,IF(WBS!$L45="Blocked",4,IF(WBS!$L45="Deferred",5,1)))),""))</f>
        <v/>
      </c>
      <c r="N45" s="58" t="str">
        <f>IF(OR(WBS!$F45="",WBS!$T45=""),"",IF(AND(9&gt;=WBS!$F45,9&lt;=WBS!$T45),IF(WBS!$L45="Done",3,IF(WBS!$L45="Doing",2,IF(WBS!$L45="Blocked",4,IF(WBS!$L45="Deferred",5,1)))),""))</f>
        <v/>
      </c>
      <c r="O45" s="58" t="str">
        <f>IF(OR(WBS!$F45="",WBS!$T45=""),"",IF(AND(10&gt;=WBS!$F45,10&lt;=WBS!$T45),IF(WBS!$L45="Done",3,IF(WBS!$L45="Doing",2,IF(WBS!$L45="Blocked",4,IF(WBS!$L45="Deferred",5,1)))),""))</f>
        <v/>
      </c>
      <c r="P45" s="58" t="str">
        <f>IF(OR(WBS!$F45="",WBS!$T45=""),"",IF(AND(11&gt;=WBS!$F45,11&lt;=WBS!$T45),IF(WBS!$L45="Done",3,IF(WBS!$L45="Doing",2,IF(WBS!$L45="Blocked",4,IF(WBS!$L45="Deferred",5,1)))),""))</f>
        <v/>
      </c>
      <c r="Q45" s="58" t="str">
        <f>IF(OR(WBS!$F45="",WBS!$T45=""),"",IF(AND(12&gt;=WBS!$F45,12&lt;=WBS!$T45),IF(WBS!$L45="Done",3,IF(WBS!$L45="Doing",2,IF(WBS!$L45="Blocked",4,IF(WBS!$L45="Deferred",5,1)))),""))</f>
        <v/>
      </c>
      <c r="R45" s="58" t="str">
        <f>IF(OR(WBS!$F45="",WBS!$T45=""),"",IF(AND(13&gt;=WBS!$F45,13&lt;=WBS!$T45),IF(WBS!$L45="Done",3,IF(WBS!$L45="Doing",2,IF(WBS!$L45="Blocked",4,IF(WBS!$L45="Deferred",5,1)))),""))</f>
        <v/>
      </c>
      <c r="S45" s="58" t="str">
        <f>IF(OR(WBS!$F45="",WBS!$T45=""),"",IF(AND(14&gt;=WBS!$F45,14&lt;=WBS!$T45),IF(WBS!$L45="Done",3,IF(WBS!$L45="Doing",2,IF(WBS!$L45="Blocked",4,IF(WBS!$L45="Deferred",5,1)))),""))</f>
        <v/>
      </c>
      <c r="T45" s="58" t="str">
        <f>IF(OR(WBS!$F45="",WBS!$T45=""),"",IF(AND(15&gt;=WBS!$F45,15&lt;=WBS!$T45),IF(WBS!$L45="Done",3,IF(WBS!$L45="Doing",2,IF(WBS!$L45="Blocked",4,IF(WBS!$L45="Deferred",5,1)))),""))</f>
        <v/>
      </c>
      <c r="U45" s="58" t="str">
        <f>IF(OR(WBS!$F45="",WBS!$T45=""),"",IF(AND(16&gt;=WBS!$F45,16&lt;=WBS!$T45),IF(WBS!$L45="Done",3,IF(WBS!$L45="Doing",2,IF(WBS!$L45="Blocked",4,IF(WBS!$L45="Deferred",5,1)))),""))</f>
        <v/>
      </c>
      <c r="V45" s="58" t="str">
        <f>IF(OR(WBS!$F45="",WBS!$T45=""),"",IF(AND(17&gt;=WBS!$F45,17&lt;=WBS!$T45),IF(WBS!$L45="Done",3,IF(WBS!$L45="Doing",2,IF(WBS!$L45="Blocked",4,IF(WBS!$L45="Deferred",5,1)))),""))</f>
        <v/>
      </c>
      <c r="W45" s="58" t="str">
        <f>IF(OR(WBS!$F45="",WBS!$T45=""),"",IF(AND(18&gt;=WBS!$F45,18&lt;=WBS!$T45),IF(WBS!$L45="Done",3,IF(WBS!$L45="Doing",2,IF(WBS!$L45="Blocked",4,IF(WBS!$L45="Deferred",5,1)))),""))</f>
        <v/>
      </c>
      <c r="X45" s="58" t="str">
        <f>IF(OR(WBS!$F45="",WBS!$T45=""),"",IF(AND(19&gt;=WBS!$F45,19&lt;=WBS!$T45),IF(WBS!$L45="Done",3,IF(WBS!$L45="Doing",2,IF(WBS!$L45="Blocked",4,IF(WBS!$L45="Deferred",5,1)))),""))</f>
        <v/>
      </c>
      <c r="Y45" s="58" t="str">
        <f>IF(OR(WBS!$F45="",WBS!$T45=""),"",IF(AND(20&gt;=WBS!$F45,20&lt;=WBS!$T45),IF(WBS!$L45="Done",3,IF(WBS!$L45="Doing",2,IF(WBS!$L45="Blocked",4,IF(WBS!$L45="Deferred",5,1)))),""))</f>
        <v/>
      </c>
      <c r="Z45" s="58" t="str">
        <f>IF(OR(WBS!$F45="",WBS!$T45=""),"",IF(AND(21&gt;=WBS!$F45,21&lt;=WBS!$T45),IF(WBS!$L45="Done",3,IF(WBS!$L45="Doing",2,IF(WBS!$L45="Blocked",4,IF(WBS!$L45="Deferred",5,1)))),""))</f>
        <v/>
      </c>
    </row>
    <row r="46" spans="1:26" x14ac:dyDescent="0.3">
      <c r="A46" s="59" t="str">
        <f>WBS!$A46</f>
        <v>3.2</v>
      </c>
      <c r="B46" s="60" t="str">
        <f>WBS!$C46</f>
        <v xml:space="preserve">    Identity foundation</v>
      </c>
      <c r="C46" s="61" t="str">
        <f>IF(WBS!$E46="","",WBS!$E46)</f>
        <v/>
      </c>
      <c r="D46" s="62">
        <f>WBS!$J46</f>
        <v>1.5</v>
      </c>
      <c r="E46" s="63">
        <f>WBS!$M46</f>
        <v>0</v>
      </c>
      <c r="F46" s="58" t="str">
        <f>IF(OR(WBS!$F46="",WBS!$T46=""),"",IF(AND(1&gt;=WBS!$F46,1&lt;=WBS!$T46),IF(WBS!$L46="Done",3,IF(WBS!$L46="Doing",2,IF(WBS!$L46="Blocked",4,IF(WBS!$L46="Deferred",5,1)))),""))</f>
        <v/>
      </c>
      <c r="G46" s="58" t="str">
        <f>IF(OR(WBS!$F46="",WBS!$T46=""),"",IF(AND(2&gt;=WBS!$F46,2&lt;=WBS!$T46),IF(WBS!$L46="Done",3,IF(WBS!$L46="Doing",2,IF(WBS!$L46="Blocked",4,IF(WBS!$L46="Deferred",5,1)))),""))</f>
        <v/>
      </c>
      <c r="H46" s="58" t="str">
        <f>IF(OR(WBS!$F46="",WBS!$T46=""),"",IF(AND(3&gt;=WBS!$F46,3&lt;=WBS!$T46),IF(WBS!$L46="Done",3,IF(WBS!$L46="Doing",2,IF(WBS!$L46="Blocked",4,IF(WBS!$L46="Deferred",5,1)))),""))</f>
        <v/>
      </c>
      <c r="I46" s="58" t="str">
        <f>IF(OR(WBS!$F46="",WBS!$T46=""),"",IF(AND(4&gt;=WBS!$F46,4&lt;=WBS!$T46),IF(WBS!$L46="Done",3,IF(WBS!$L46="Doing",2,IF(WBS!$L46="Blocked",4,IF(WBS!$L46="Deferred",5,1)))),""))</f>
        <v/>
      </c>
      <c r="J46" s="58" t="str">
        <f>IF(OR(WBS!$F46="",WBS!$T46=""),"",IF(AND(5&gt;=WBS!$F46,5&lt;=WBS!$T46),IF(WBS!$L46="Done",3,IF(WBS!$L46="Doing",2,IF(WBS!$L46="Blocked",4,IF(WBS!$L46="Deferred",5,1)))),""))</f>
        <v/>
      </c>
      <c r="K46" s="58">
        <f>IF(OR(WBS!$F46="",WBS!$T46=""),"",IF(AND(6&gt;=WBS!$F46,6&lt;=WBS!$T46),IF(WBS!$L46="Done",3,IF(WBS!$L46="Doing",2,IF(WBS!$L46="Blocked",4,IF(WBS!$L46="Deferred",5,1)))),""))</f>
        <v>1</v>
      </c>
      <c r="L46" s="58" t="str">
        <f>IF(OR(WBS!$F46="",WBS!$T46=""),"",IF(AND(7&gt;=WBS!$F46,7&lt;=WBS!$T46),IF(WBS!$L46="Done",3,IF(WBS!$L46="Doing",2,IF(WBS!$L46="Blocked",4,IF(WBS!$L46="Deferred",5,1)))),""))</f>
        <v/>
      </c>
      <c r="M46" s="58" t="str">
        <f>IF(OR(WBS!$F46="",WBS!$T46=""),"",IF(AND(8&gt;=WBS!$F46,8&lt;=WBS!$T46),IF(WBS!$L46="Done",3,IF(WBS!$L46="Doing",2,IF(WBS!$L46="Blocked",4,IF(WBS!$L46="Deferred",5,1)))),""))</f>
        <v/>
      </c>
      <c r="N46" s="58" t="str">
        <f>IF(OR(WBS!$F46="",WBS!$T46=""),"",IF(AND(9&gt;=WBS!$F46,9&lt;=WBS!$T46),IF(WBS!$L46="Done",3,IF(WBS!$L46="Doing",2,IF(WBS!$L46="Blocked",4,IF(WBS!$L46="Deferred",5,1)))),""))</f>
        <v/>
      </c>
      <c r="O46" s="58" t="str">
        <f>IF(OR(WBS!$F46="",WBS!$T46=""),"",IF(AND(10&gt;=WBS!$F46,10&lt;=WBS!$T46),IF(WBS!$L46="Done",3,IF(WBS!$L46="Doing",2,IF(WBS!$L46="Blocked",4,IF(WBS!$L46="Deferred",5,1)))),""))</f>
        <v/>
      </c>
      <c r="P46" s="58" t="str">
        <f>IF(OR(WBS!$F46="",WBS!$T46=""),"",IF(AND(11&gt;=WBS!$F46,11&lt;=WBS!$T46),IF(WBS!$L46="Done",3,IF(WBS!$L46="Doing",2,IF(WBS!$L46="Blocked",4,IF(WBS!$L46="Deferred",5,1)))),""))</f>
        <v/>
      </c>
      <c r="Q46" s="58" t="str">
        <f>IF(OR(WBS!$F46="",WBS!$T46=""),"",IF(AND(12&gt;=WBS!$F46,12&lt;=WBS!$T46),IF(WBS!$L46="Done",3,IF(WBS!$L46="Doing",2,IF(WBS!$L46="Blocked",4,IF(WBS!$L46="Deferred",5,1)))),""))</f>
        <v/>
      </c>
      <c r="R46" s="58" t="str">
        <f>IF(OR(WBS!$F46="",WBS!$T46=""),"",IF(AND(13&gt;=WBS!$F46,13&lt;=WBS!$T46),IF(WBS!$L46="Done",3,IF(WBS!$L46="Doing",2,IF(WBS!$L46="Blocked",4,IF(WBS!$L46="Deferred",5,1)))),""))</f>
        <v/>
      </c>
      <c r="S46" s="58" t="str">
        <f>IF(OR(WBS!$F46="",WBS!$T46=""),"",IF(AND(14&gt;=WBS!$F46,14&lt;=WBS!$T46),IF(WBS!$L46="Done",3,IF(WBS!$L46="Doing",2,IF(WBS!$L46="Blocked",4,IF(WBS!$L46="Deferred",5,1)))),""))</f>
        <v/>
      </c>
      <c r="T46" s="58" t="str">
        <f>IF(OR(WBS!$F46="",WBS!$T46=""),"",IF(AND(15&gt;=WBS!$F46,15&lt;=WBS!$T46),IF(WBS!$L46="Done",3,IF(WBS!$L46="Doing",2,IF(WBS!$L46="Blocked",4,IF(WBS!$L46="Deferred",5,1)))),""))</f>
        <v/>
      </c>
      <c r="U46" s="58" t="str">
        <f>IF(OR(WBS!$F46="",WBS!$T46=""),"",IF(AND(16&gt;=WBS!$F46,16&lt;=WBS!$T46),IF(WBS!$L46="Done",3,IF(WBS!$L46="Doing",2,IF(WBS!$L46="Blocked",4,IF(WBS!$L46="Deferred",5,1)))),""))</f>
        <v/>
      </c>
      <c r="V46" s="58" t="str">
        <f>IF(OR(WBS!$F46="",WBS!$T46=""),"",IF(AND(17&gt;=WBS!$F46,17&lt;=WBS!$T46),IF(WBS!$L46="Done",3,IF(WBS!$L46="Doing",2,IF(WBS!$L46="Blocked",4,IF(WBS!$L46="Deferred",5,1)))),""))</f>
        <v/>
      </c>
      <c r="W46" s="58" t="str">
        <f>IF(OR(WBS!$F46="",WBS!$T46=""),"",IF(AND(18&gt;=WBS!$F46,18&lt;=WBS!$T46),IF(WBS!$L46="Done",3,IF(WBS!$L46="Doing",2,IF(WBS!$L46="Blocked",4,IF(WBS!$L46="Deferred",5,1)))),""))</f>
        <v/>
      </c>
      <c r="X46" s="58" t="str">
        <f>IF(OR(WBS!$F46="",WBS!$T46=""),"",IF(AND(19&gt;=WBS!$F46,19&lt;=WBS!$T46),IF(WBS!$L46="Done",3,IF(WBS!$L46="Doing",2,IF(WBS!$L46="Blocked",4,IF(WBS!$L46="Deferred",5,1)))),""))</f>
        <v/>
      </c>
      <c r="Y46" s="58" t="str">
        <f>IF(OR(WBS!$F46="",WBS!$T46=""),"",IF(AND(20&gt;=WBS!$F46,20&lt;=WBS!$T46),IF(WBS!$L46="Done",3,IF(WBS!$L46="Doing",2,IF(WBS!$L46="Blocked",4,IF(WBS!$L46="Deferred",5,1)))),""))</f>
        <v/>
      </c>
      <c r="Z46" s="58" t="str">
        <f>IF(OR(WBS!$F46="",WBS!$T46=""),"",IF(AND(21&gt;=WBS!$F46,21&lt;=WBS!$T46),IF(WBS!$L46="Done",3,IF(WBS!$L46="Doing",2,IF(WBS!$L46="Blocked",4,IF(WBS!$L46="Deferred",5,1)))),""))</f>
        <v/>
      </c>
    </row>
    <row r="47" spans="1:26" x14ac:dyDescent="0.3">
      <c r="A47" s="64" t="str">
        <f>WBS!$A47</f>
        <v>3.2.1</v>
      </c>
      <c r="B47" s="65" t="str">
        <f>WBS!$C47</f>
        <v xml:space="preserve">        JWT per-audience tokens and permission claims</v>
      </c>
      <c r="C47" s="66" t="str">
        <f>IF(WBS!$E47="","",WBS!$E47)</f>
        <v>BE</v>
      </c>
      <c r="D47" s="67">
        <f>WBS!$J47</f>
        <v>1.5</v>
      </c>
      <c r="E47" s="68">
        <f>WBS!$M47</f>
        <v>0</v>
      </c>
      <c r="F47" s="58" t="str">
        <f>IF(OR(WBS!$F47="",WBS!$T47=""),"",IF(AND(1&gt;=WBS!$F47,1&lt;=WBS!$T47),IF(WBS!$L47="Done",3,IF(WBS!$L47="Doing",2,IF(WBS!$L47="Blocked",4,IF(WBS!$L47="Deferred",5,1)))),""))</f>
        <v/>
      </c>
      <c r="G47" s="58" t="str">
        <f>IF(OR(WBS!$F47="",WBS!$T47=""),"",IF(AND(2&gt;=WBS!$F47,2&lt;=WBS!$T47),IF(WBS!$L47="Done",3,IF(WBS!$L47="Doing",2,IF(WBS!$L47="Blocked",4,IF(WBS!$L47="Deferred",5,1)))),""))</f>
        <v/>
      </c>
      <c r="H47" s="58" t="str">
        <f>IF(OR(WBS!$F47="",WBS!$T47=""),"",IF(AND(3&gt;=WBS!$F47,3&lt;=WBS!$T47),IF(WBS!$L47="Done",3,IF(WBS!$L47="Doing",2,IF(WBS!$L47="Blocked",4,IF(WBS!$L47="Deferred",5,1)))),""))</f>
        <v/>
      </c>
      <c r="I47" s="58" t="str">
        <f>IF(OR(WBS!$F47="",WBS!$T47=""),"",IF(AND(4&gt;=WBS!$F47,4&lt;=WBS!$T47),IF(WBS!$L47="Done",3,IF(WBS!$L47="Doing",2,IF(WBS!$L47="Blocked",4,IF(WBS!$L47="Deferred",5,1)))),""))</f>
        <v/>
      </c>
      <c r="J47" s="58" t="str">
        <f>IF(OR(WBS!$F47="",WBS!$T47=""),"",IF(AND(5&gt;=WBS!$F47,5&lt;=WBS!$T47),IF(WBS!$L47="Done",3,IF(WBS!$L47="Doing",2,IF(WBS!$L47="Blocked",4,IF(WBS!$L47="Deferred",5,1)))),""))</f>
        <v/>
      </c>
      <c r="K47" s="58">
        <f>IF(OR(WBS!$F47="",WBS!$T47=""),"",IF(AND(6&gt;=WBS!$F47,6&lt;=WBS!$T47),IF(WBS!$L47="Done",3,IF(WBS!$L47="Doing",2,IF(WBS!$L47="Blocked",4,IF(WBS!$L47="Deferred",5,1)))),""))</f>
        <v>1</v>
      </c>
      <c r="L47" s="58" t="str">
        <f>IF(OR(WBS!$F47="",WBS!$T47=""),"",IF(AND(7&gt;=WBS!$F47,7&lt;=WBS!$T47),IF(WBS!$L47="Done",3,IF(WBS!$L47="Doing",2,IF(WBS!$L47="Blocked",4,IF(WBS!$L47="Deferred",5,1)))),""))</f>
        <v/>
      </c>
      <c r="M47" s="58" t="str">
        <f>IF(OR(WBS!$F47="",WBS!$T47=""),"",IF(AND(8&gt;=WBS!$F47,8&lt;=WBS!$T47),IF(WBS!$L47="Done",3,IF(WBS!$L47="Doing",2,IF(WBS!$L47="Blocked",4,IF(WBS!$L47="Deferred",5,1)))),""))</f>
        <v/>
      </c>
      <c r="N47" s="58" t="str">
        <f>IF(OR(WBS!$F47="",WBS!$T47=""),"",IF(AND(9&gt;=WBS!$F47,9&lt;=WBS!$T47),IF(WBS!$L47="Done",3,IF(WBS!$L47="Doing",2,IF(WBS!$L47="Blocked",4,IF(WBS!$L47="Deferred",5,1)))),""))</f>
        <v/>
      </c>
      <c r="O47" s="58" t="str">
        <f>IF(OR(WBS!$F47="",WBS!$T47=""),"",IF(AND(10&gt;=WBS!$F47,10&lt;=WBS!$T47),IF(WBS!$L47="Done",3,IF(WBS!$L47="Doing",2,IF(WBS!$L47="Blocked",4,IF(WBS!$L47="Deferred",5,1)))),""))</f>
        <v/>
      </c>
      <c r="P47" s="58" t="str">
        <f>IF(OR(WBS!$F47="",WBS!$T47=""),"",IF(AND(11&gt;=WBS!$F47,11&lt;=WBS!$T47),IF(WBS!$L47="Done",3,IF(WBS!$L47="Doing",2,IF(WBS!$L47="Blocked",4,IF(WBS!$L47="Deferred",5,1)))),""))</f>
        <v/>
      </c>
      <c r="Q47" s="58" t="str">
        <f>IF(OR(WBS!$F47="",WBS!$T47=""),"",IF(AND(12&gt;=WBS!$F47,12&lt;=WBS!$T47),IF(WBS!$L47="Done",3,IF(WBS!$L47="Doing",2,IF(WBS!$L47="Blocked",4,IF(WBS!$L47="Deferred",5,1)))),""))</f>
        <v/>
      </c>
      <c r="R47" s="58" t="str">
        <f>IF(OR(WBS!$F47="",WBS!$T47=""),"",IF(AND(13&gt;=WBS!$F47,13&lt;=WBS!$T47),IF(WBS!$L47="Done",3,IF(WBS!$L47="Doing",2,IF(WBS!$L47="Blocked",4,IF(WBS!$L47="Deferred",5,1)))),""))</f>
        <v/>
      </c>
      <c r="S47" s="58" t="str">
        <f>IF(OR(WBS!$F47="",WBS!$T47=""),"",IF(AND(14&gt;=WBS!$F47,14&lt;=WBS!$T47),IF(WBS!$L47="Done",3,IF(WBS!$L47="Doing",2,IF(WBS!$L47="Blocked",4,IF(WBS!$L47="Deferred",5,1)))),""))</f>
        <v/>
      </c>
      <c r="T47" s="58" t="str">
        <f>IF(OR(WBS!$F47="",WBS!$T47=""),"",IF(AND(15&gt;=WBS!$F47,15&lt;=WBS!$T47),IF(WBS!$L47="Done",3,IF(WBS!$L47="Doing",2,IF(WBS!$L47="Blocked",4,IF(WBS!$L47="Deferred",5,1)))),""))</f>
        <v/>
      </c>
      <c r="U47" s="58" t="str">
        <f>IF(OR(WBS!$F47="",WBS!$T47=""),"",IF(AND(16&gt;=WBS!$F47,16&lt;=WBS!$T47),IF(WBS!$L47="Done",3,IF(WBS!$L47="Doing",2,IF(WBS!$L47="Blocked",4,IF(WBS!$L47="Deferred",5,1)))),""))</f>
        <v/>
      </c>
      <c r="V47" s="58" t="str">
        <f>IF(OR(WBS!$F47="",WBS!$T47=""),"",IF(AND(17&gt;=WBS!$F47,17&lt;=WBS!$T47),IF(WBS!$L47="Done",3,IF(WBS!$L47="Doing",2,IF(WBS!$L47="Blocked",4,IF(WBS!$L47="Deferred",5,1)))),""))</f>
        <v/>
      </c>
      <c r="W47" s="58" t="str">
        <f>IF(OR(WBS!$F47="",WBS!$T47=""),"",IF(AND(18&gt;=WBS!$F47,18&lt;=WBS!$T47),IF(WBS!$L47="Done",3,IF(WBS!$L47="Doing",2,IF(WBS!$L47="Blocked",4,IF(WBS!$L47="Deferred",5,1)))),""))</f>
        <v/>
      </c>
      <c r="X47" s="58" t="str">
        <f>IF(OR(WBS!$F47="",WBS!$T47=""),"",IF(AND(19&gt;=WBS!$F47,19&lt;=WBS!$T47),IF(WBS!$L47="Done",3,IF(WBS!$L47="Doing",2,IF(WBS!$L47="Blocked",4,IF(WBS!$L47="Deferred",5,1)))),""))</f>
        <v/>
      </c>
      <c r="Y47" s="58" t="str">
        <f>IF(OR(WBS!$F47="",WBS!$T47=""),"",IF(AND(20&gt;=WBS!$F47,20&lt;=WBS!$T47),IF(WBS!$L47="Done",3,IF(WBS!$L47="Doing",2,IF(WBS!$L47="Blocked",4,IF(WBS!$L47="Deferred",5,1)))),""))</f>
        <v/>
      </c>
      <c r="Z47" s="58" t="str">
        <f>IF(OR(WBS!$F47="",WBS!$T47=""),"",IF(AND(21&gt;=WBS!$F47,21&lt;=WBS!$T47),IF(WBS!$L47="Done",3,IF(WBS!$L47="Doing",2,IF(WBS!$L47="Blocked",4,IF(WBS!$L47="Deferred",5,1)))),""))</f>
        <v/>
      </c>
    </row>
    <row r="48" spans="1:26" x14ac:dyDescent="0.3">
      <c r="A48" s="59" t="str">
        <f>WBS!$A48</f>
        <v>3.3</v>
      </c>
      <c r="B48" s="60" t="str">
        <f>WBS!$C48</f>
        <v xml:space="preserve">    Network and Timetable module</v>
      </c>
      <c r="C48" s="61" t="str">
        <f>IF(WBS!$E48="","",WBS!$E48)</f>
        <v/>
      </c>
      <c r="D48" s="62">
        <f>WBS!$J48</f>
        <v>6</v>
      </c>
      <c r="E48" s="63">
        <f>WBS!$M48</f>
        <v>0</v>
      </c>
      <c r="F48" s="58" t="str">
        <f>IF(OR(WBS!$F48="",WBS!$T48=""),"",IF(AND(1&gt;=WBS!$F48,1&lt;=WBS!$T48),IF(WBS!$L48="Done",3,IF(WBS!$L48="Doing",2,IF(WBS!$L48="Blocked",4,IF(WBS!$L48="Deferred",5,1)))),""))</f>
        <v/>
      </c>
      <c r="G48" s="58" t="str">
        <f>IF(OR(WBS!$F48="",WBS!$T48=""),"",IF(AND(2&gt;=WBS!$F48,2&lt;=WBS!$T48),IF(WBS!$L48="Done",3,IF(WBS!$L48="Doing",2,IF(WBS!$L48="Blocked",4,IF(WBS!$L48="Deferred",5,1)))),""))</f>
        <v/>
      </c>
      <c r="H48" s="58" t="str">
        <f>IF(OR(WBS!$F48="",WBS!$T48=""),"",IF(AND(3&gt;=WBS!$F48,3&lt;=WBS!$T48),IF(WBS!$L48="Done",3,IF(WBS!$L48="Doing",2,IF(WBS!$L48="Blocked",4,IF(WBS!$L48="Deferred",5,1)))),""))</f>
        <v/>
      </c>
      <c r="I48" s="58" t="str">
        <f>IF(OR(WBS!$F48="",WBS!$T48=""),"",IF(AND(4&gt;=WBS!$F48,4&lt;=WBS!$T48),IF(WBS!$L48="Done",3,IF(WBS!$L48="Doing",2,IF(WBS!$L48="Blocked",4,IF(WBS!$L48="Deferred",5,1)))),""))</f>
        <v/>
      </c>
      <c r="J48" s="58" t="str">
        <f>IF(OR(WBS!$F48="",WBS!$T48=""),"",IF(AND(5&gt;=WBS!$F48,5&lt;=WBS!$T48),IF(WBS!$L48="Done",3,IF(WBS!$L48="Doing",2,IF(WBS!$L48="Blocked",4,IF(WBS!$L48="Deferred",5,1)))),""))</f>
        <v/>
      </c>
      <c r="K48" s="58" t="str">
        <f>IF(OR(WBS!$F48="",WBS!$T48=""),"",IF(AND(6&gt;=WBS!$F48,6&lt;=WBS!$T48),IF(WBS!$L48="Done",3,IF(WBS!$L48="Doing",2,IF(WBS!$L48="Blocked",4,IF(WBS!$L48="Deferred",5,1)))),""))</f>
        <v/>
      </c>
      <c r="L48" s="58">
        <f>IF(OR(WBS!$F48="",WBS!$T48=""),"",IF(AND(7&gt;=WBS!$F48,7&lt;=WBS!$T48),IF(WBS!$L48="Done",3,IF(WBS!$L48="Doing",2,IF(WBS!$L48="Blocked",4,IF(WBS!$L48="Deferred",5,1)))),""))</f>
        <v>1</v>
      </c>
      <c r="M48" s="58" t="str">
        <f>IF(OR(WBS!$F48="",WBS!$T48=""),"",IF(AND(8&gt;=WBS!$F48,8&lt;=WBS!$T48),IF(WBS!$L48="Done",3,IF(WBS!$L48="Doing",2,IF(WBS!$L48="Blocked",4,IF(WBS!$L48="Deferred",5,1)))),""))</f>
        <v/>
      </c>
      <c r="N48" s="58" t="str">
        <f>IF(OR(WBS!$F48="",WBS!$T48=""),"",IF(AND(9&gt;=WBS!$F48,9&lt;=WBS!$T48),IF(WBS!$L48="Done",3,IF(WBS!$L48="Doing",2,IF(WBS!$L48="Blocked",4,IF(WBS!$L48="Deferred",5,1)))),""))</f>
        <v/>
      </c>
      <c r="O48" s="58" t="str">
        <f>IF(OR(WBS!$F48="",WBS!$T48=""),"",IF(AND(10&gt;=WBS!$F48,10&lt;=WBS!$T48),IF(WBS!$L48="Done",3,IF(WBS!$L48="Doing",2,IF(WBS!$L48="Blocked",4,IF(WBS!$L48="Deferred",5,1)))),""))</f>
        <v/>
      </c>
      <c r="P48" s="58" t="str">
        <f>IF(OR(WBS!$F48="",WBS!$T48=""),"",IF(AND(11&gt;=WBS!$F48,11&lt;=WBS!$T48),IF(WBS!$L48="Done",3,IF(WBS!$L48="Doing",2,IF(WBS!$L48="Blocked",4,IF(WBS!$L48="Deferred",5,1)))),""))</f>
        <v/>
      </c>
      <c r="Q48" s="58" t="str">
        <f>IF(OR(WBS!$F48="",WBS!$T48=""),"",IF(AND(12&gt;=WBS!$F48,12&lt;=WBS!$T48),IF(WBS!$L48="Done",3,IF(WBS!$L48="Doing",2,IF(WBS!$L48="Blocked",4,IF(WBS!$L48="Deferred",5,1)))),""))</f>
        <v/>
      </c>
      <c r="R48" s="58" t="str">
        <f>IF(OR(WBS!$F48="",WBS!$T48=""),"",IF(AND(13&gt;=WBS!$F48,13&lt;=WBS!$T48),IF(WBS!$L48="Done",3,IF(WBS!$L48="Doing",2,IF(WBS!$L48="Blocked",4,IF(WBS!$L48="Deferred",5,1)))),""))</f>
        <v/>
      </c>
      <c r="S48" s="58" t="str">
        <f>IF(OR(WBS!$F48="",WBS!$T48=""),"",IF(AND(14&gt;=WBS!$F48,14&lt;=WBS!$T48),IF(WBS!$L48="Done",3,IF(WBS!$L48="Doing",2,IF(WBS!$L48="Blocked",4,IF(WBS!$L48="Deferred",5,1)))),""))</f>
        <v/>
      </c>
      <c r="T48" s="58" t="str">
        <f>IF(OR(WBS!$F48="",WBS!$T48=""),"",IF(AND(15&gt;=WBS!$F48,15&lt;=WBS!$T48),IF(WBS!$L48="Done",3,IF(WBS!$L48="Doing",2,IF(WBS!$L48="Blocked",4,IF(WBS!$L48="Deferred",5,1)))),""))</f>
        <v/>
      </c>
      <c r="U48" s="58" t="str">
        <f>IF(OR(WBS!$F48="",WBS!$T48=""),"",IF(AND(16&gt;=WBS!$F48,16&lt;=WBS!$T48),IF(WBS!$L48="Done",3,IF(WBS!$L48="Doing",2,IF(WBS!$L48="Blocked",4,IF(WBS!$L48="Deferred",5,1)))),""))</f>
        <v/>
      </c>
      <c r="V48" s="58" t="str">
        <f>IF(OR(WBS!$F48="",WBS!$T48=""),"",IF(AND(17&gt;=WBS!$F48,17&lt;=WBS!$T48),IF(WBS!$L48="Done",3,IF(WBS!$L48="Doing",2,IF(WBS!$L48="Blocked",4,IF(WBS!$L48="Deferred",5,1)))),""))</f>
        <v/>
      </c>
      <c r="W48" s="58" t="str">
        <f>IF(OR(WBS!$F48="",WBS!$T48=""),"",IF(AND(18&gt;=WBS!$F48,18&lt;=WBS!$T48),IF(WBS!$L48="Done",3,IF(WBS!$L48="Doing",2,IF(WBS!$L48="Blocked",4,IF(WBS!$L48="Deferred",5,1)))),""))</f>
        <v/>
      </c>
      <c r="X48" s="58" t="str">
        <f>IF(OR(WBS!$F48="",WBS!$T48=""),"",IF(AND(19&gt;=WBS!$F48,19&lt;=WBS!$T48),IF(WBS!$L48="Done",3,IF(WBS!$L48="Doing",2,IF(WBS!$L48="Blocked",4,IF(WBS!$L48="Deferred",5,1)))),""))</f>
        <v/>
      </c>
      <c r="Y48" s="58" t="str">
        <f>IF(OR(WBS!$F48="",WBS!$T48=""),"",IF(AND(20&gt;=WBS!$F48,20&lt;=WBS!$T48),IF(WBS!$L48="Done",3,IF(WBS!$L48="Doing",2,IF(WBS!$L48="Blocked",4,IF(WBS!$L48="Deferred",5,1)))),""))</f>
        <v/>
      </c>
      <c r="Z48" s="58" t="str">
        <f>IF(OR(WBS!$F48="",WBS!$T48=""),"",IF(AND(21&gt;=WBS!$F48,21&lt;=WBS!$T48),IF(WBS!$L48="Done",3,IF(WBS!$L48="Doing",2,IF(WBS!$L48="Blocked",4,IF(WBS!$L48="Deferred",5,1)))),""))</f>
        <v/>
      </c>
    </row>
    <row r="49" spans="1:26" x14ac:dyDescent="0.3">
      <c r="A49" s="64" t="str">
        <f>WBS!$A49</f>
        <v>3.3.1</v>
      </c>
      <c r="B49" s="65" t="str">
        <f>WBS!$C49</f>
        <v xml:space="preserve">        Read endpoints - stations, departures, routes</v>
      </c>
      <c r="C49" s="66" t="str">
        <f>IF(WBS!$E49="","",WBS!$E49)</f>
        <v>BE</v>
      </c>
      <c r="D49" s="67">
        <f>WBS!$J49</f>
        <v>2.5</v>
      </c>
      <c r="E49" s="68">
        <f>WBS!$M49</f>
        <v>0</v>
      </c>
      <c r="F49" s="58" t="str">
        <f>IF(OR(WBS!$F49="",WBS!$T49=""),"",IF(AND(1&gt;=WBS!$F49,1&lt;=WBS!$T49),IF(WBS!$L49="Done",3,IF(WBS!$L49="Doing",2,IF(WBS!$L49="Blocked",4,IF(WBS!$L49="Deferred",5,1)))),""))</f>
        <v/>
      </c>
      <c r="G49" s="58" t="str">
        <f>IF(OR(WBS!$F49="",WBS!$T49=""),"",IF(AND(2&gt;=WBS!$F49,2&lt;=WBS!$T49),IF(WBS!$L49="Done",3,IF(WBS!$L49="Doing",2,IF(WBS!$L49="Blocked",4,IF(WBS!$L49="Deferred",5,1)))),""))</f>
        <v/>
      </c>
      <c r="H49" s="58" t="str">
        <f>IF(OR(WBS!$F49="",WBS!$T49=""),"",IF(AND(3&gt;=WBS!$F49,3&lt;=WBS!$T49),IF(WBS!$L49="Done",3,IF(WBS!$L49="Doing",2,IF(WBS!$L49="Blocked",4,IF(WBS!$L49="Deferred",5,1)))),""))</f>
        <v/>
      </c>
      <c r="I49" s="58" t="str">
        <f>IF(OR(WBS!$F49="",WBS!$T49=""),"",IF(AND(4&gt;=WBS!$F49,4&lt;=WBS!$T49),IF(WBS!$L49="Done",3,IF(WBS!$L49="Doing",2,IF(WBS!$L49="Blocked",4,IF(WBS!$L49="Deferred",5,1)))),""))</f>
        <v/>
      </c>
      <c r="J49" s="58" t="str">
        <f>IF(OR(WBS!$F49="",WBS!$T49=""),"",IF(AND(5&gt;=WBS!$F49,5&lt;=WBS!$T49),IF(WBS!$L49="Done",3,IF(WBS!$L49="Doing",2,IF(WBS!$L49="Blocked",4,IF(WBS!$L49="Deferred",5,1)))),""))</f>
        <v/>
      </c>
      <c r="K49" s="58" t="str">
        <f>IF(OR(WBS!$F49="",WBS!$T49=""),"",IF(AND(6&gt;=WBS!$F49,6&lt;=WBS!$T49),IF(WBS!$L49="Done",3,IF(WBS!$L49="Doing",2,IF(WBS!$L49="Blocked",4,IF(WBS!$L49="Deferred",5,1)))),""))</f>
        <v/>
      </c>
      <c r="L49" s="58">
        <f>IF(OR(WBS!$F49="",WBS!$T49=""),"",IF(AND(7&gt;=WBS!$F49,7&lt;=WBS!$T49),IF(WBS!$L49="Done",3,IF(WBS!$L49="Doing",2,IF(WBS!$L49="Blocked",4,IF(WBS!$L49="Deferred",5,1)))),""))</f>
        <v>1</v>
      </c>
      <c r="M49" s="58" t="str">
        <f>IF(OR(WBS!$F49="",WBS!$T49=""),"",IF(AND(8&gt;=WBS!$F49,8&lt;=WBS!$T49),IF(WBS!$L49="Done",3,IF(WBS!$L49="Doing",2,IF(WBS!$L49="Blocked",4,IF(WBS!$L49="Deferred",5,1)))),""))</f>
        <v/>
      </c>
      <c r="N49" s="58" t="str">
        <f>IF(OR(WBS!$F49="",WBS!$T49=""),"",IF(AND(9&gt;=WBS!$F49,9&lt;=WBS!$T49),IF(WBS!$L49="Done",3,IF(WBS!$L49="Doing",2,IF(WBS!$L49="Blocked",4,IF(WBS!$L49="Deferred",5,1)))),""))</f>
        <v/>
      </c>
      <c r="O49" s="58" t="str">
        <f>IF(OR(WBS!$F49="",WBS!$T49=""),"",IF(AND(10&gt;=WBS!$F49,10&lt;=WBS!$T49),IF(WBS!$L49="Done",3,IF(WBS!$L49="Doing",2,IF(WBS!$L49="Blocked",4,IF(WBS!$L49="Deferred",5,1)))),""))</f>
        <v/>
      </c>
      <c r="P49" s="58" t="str">
        <f>IF(OR(WBS!$F49="",WBS!$T49=""),"",IF(AND(11&gt;=WBS!$F49,11&lt;=WBS!$T49),IF(WBS!$L49="Done",3,IF(WBS!$L49="Doing",2,IF(WBS!$L49="Blocked",4,IF(WBS!$L49="Deferred",5,1)))),""))</f>
        <v/>
      </c>
      <c r="Q49" s="58" t="str">
        <f>IF(OR(WBS!$F49="",WBS!$T49=""),"",IF(AND(12&gt;=WBS!$F49,12&lt;=WBS!$T49),IF(WBS!$L49="Done",3,IF(WBS!$L49="Doing",2,IF(WBS!$L49="Blocked",4,IF(WBS!$L49="Deferred",5,1)))),""))</f>
        <v/>
      </c>
      <c r="R49" s="58" t="str">
        <f>IF(OR(WBS!$F49="",WBS!$T49=""),"",IF(AND(13&gt;=WBS!$F49,13&lt;=WBS!$T49),IF(WBS!$L49="Done",3,IF(WBS!$L49="Doing",2,IF(WBS!$L49="Blocked",4,IF(WBS!$L49="Deferred",5,1)))),""))</f>
        <v/>
      </c>
      <c r="S49" s="58" t="str">
        <f>IF(OR(WBS!$F49="",WBS!$T49=""),"",IF(AND(14&gt;=WBS!$F49,14&lt;=WBS!$T49),IF(WBS!$L49="Done",3,IF(WBS!$L49="Doing",2,IF(WBS!$L49="Blocked",4,IF(WBS!$L49="Deferred",5,1)))),""))</f>
        <v/>
      </c>
      <c r="T49" s="58" t="str">
        <f>IF(OR(WBS!$F49="",WBS!$T49=""),"",IF(AND(15&gt;=WBS!$F49,15&lt;=WBS!$T49),IF(WBS!$L49="Done",3,IF(WBS!$L49="Doing",2,IF(WBS!$L49="Blocked",4,IF(WBS!$L49="Deferred",5,1)))),""))</f>
        <v/>
      </c>
      <c r="U49" s="58" t="str">
        <f>IF(OR(WBS!$F49="",WBS!$T49=""),"",IF(AND(16&gt;=WBS!$F49,16&lt;=WBS!$T49),IF(WBS!$L49="Done",3,IF(WBS!$L49="Doing",2,IF(WBS!$L49="Blocked",4,IF(WBS!$L49="Deferred",5,1)))),""))</f>
        <v/>
      </c>
      <c r="V49" s="58" t="str">
        <f>IF(OR(WBS!$F49="",WBS!$T49=""),"",IF(AND(17&gt;=WBS!$F49,17&lt;=WBS!$T49),IF(WBS!$L49="Done",3,IF(WBS!$L49="Doing",2,IF(WBS!$L49="Blocked",4,IF(WBS!$L49="Deferred",5,1)))),""))</f>
        <v/>
      </c>
      <c r="W49" s="58" t="str">
        <f>IF(OR(WBS!$F49="",WBS!$T49=""),"",IF(AND(18&gt;=WBS!$F49,18&lt;=WBS!$T49),IF(WBS!$L49="Done",3,IF(WBS!$L49="Doing",2,IF(WBS!$L49="Blocked",4,IF(WBS!$L49="Deferred",5,1)))),""))</f>
        <v/>
      </c>
      <c r="X49" s="58" t="str">
        <f>IF(OR(WBS!$F49="",WBS!$T49=""),"",IF(AND(19&gt;=WBS!$F49,19&lt;=WBS!$T49),IF(WBS!$L49="Done",3,IF(WBS!$L49="Doing",2,IF(WBS!$L49="Blocked",4,IF(WBS!$L49="Deferred",5,1)))),""))</f>
        <v/>
      </c>
      <c r="Y49" s="58" t="str">
        <f>IF(OR(WBS!$F49="",WBS!$T49=""),"",IF(AND(20&gt;=WBS!$F49,20&lt;=WBS!$T49),IF(WBS!$L49="Done",3,IF(WBS!$L49="Doing",2,IF(WBS!$L49="Blocked",4,IF(WBS!$L49="Deferred",5,1)))),""))</f>
        <v/>
      </c>
      <c r="Z49" s="58" t="str">
        <f>IF(OR(WBS!$F49="",WBS!$T49=""),"",IF(AND(21&gt;=WBS!$F49,21&lt;=WBS!$T49),IF(WBS!$L49="Done",3,IF(WBS!$L49="Doing",2,IF(WBS!$L49="Blocked",4,IF(WBS!$L49="Deferred",5,1)))),""))</f>
        <v/>
      </c>
    </row>
    <row r="50" spans="1:26" x14ac:dyDescent="0.3">
      <c r="A50" s="64" t="str">
        <f>WBS!$A50</f>
        <v>3.3.2</v>
      </c>
      <c r="B50" s="65" t="str">
        <f>WBS!$C50</f>
        <v xml:space="preserve">        Timetable admin writes with draft, publish, supersede</v>
      </c>
      <c r="C50" s="66" t="str">
        <f>IF(WBS!$E50="","",WBS!$E50)</f>
        <v>BE</v>
      </c>
      <c r="D50" s="67">
        <f>WBS!$J50</f>
        <v>2.5</v>
      </c>
      <c r="E50" s="68">
        <f>WBS!$M50</f>
        <v>0</v>
      </c>
      <c r="F50" s="58" t="str">
        <f>IF(OR(WBS!$F50="",WBS!$T50=""),"",IF(AND(1&gt;=WBS!$F50,1&lt;=WBS!$T50),IF(WBS!$L50="Done",3,IF(WBS!$L50="Doing",2,IF(WBS!$L50="Blocked",4,IF(WBS!$L50="Deferred",5,1)))),""))</f>
        <v/>
      </c>
      <c r="G50" s="58" t="str">
        <f>IF(OR(WBS!$F50="",WBS!$T50=""),"",IF(AND(2&gt;=WBS!$F50,2&lt;=WBS!$T50),IF(WBS!$L50="Done",3,IF(WBS!$L50="Doing",2,IF(WBS!$L50="Blocked",4,IF(WBS!$L50="Deferred",5,1)))),""))</f>
        <v/>
      </c>
      <c r="H50" s="58" t="str">
        <f>IF(OR(WBS!$F50="",WBS!$T50=""),"",IF(AND(3&gt;=WBS!$F50,3&lt;=WBS!$T50),IF(WBS!$L50="Done",3,IF(WBS!$L50="Doing",2,IF(WBS!$L50="Blocked",4,IF(WBS!$L50="Deferred",5,1)))),""))</f>
        <v/>
      </c>
      <c r="I50" s="58" t="str">
        <f>IF(OR(WBS!$F50="",WBS!$T50=""),"",IF(AND(4&gt;=WBS!$F50,4&lt;=WBS!$T50),IF(WBS!$L50="Done",3,IF(WBS!$L50="Doing",2,IF(WBS!$L50="Blocked",4,IF(WBS!$L50="Deferred",5,1)))),""))</f>
        <v/>
      </c>
      <c r="J50" s="58" t="str">
        <f>IF(OR(WBS!$F50="",WBS!$T50=""),"",IF(AND(5&gt;=WBS!$F50,5&lt;=WBS!$T50),IF(WBS!$L50="Done",3,IF(WBS!$L50="Doing",2,IF(WBS!$L50="Blocked",4,IF(WBS!$L50="Deferred",5,1)))),""))</f>
        <v/>
      </c>
      <c r="K50" s="58" t="str">
        <f>IF(OR(WBS!$F50="",WBS!$T50=""),"",IF(AND(6&gt;=WBS!$F50,6&lt;=WBS!$T50),IF(WBS!$L50="Done",3,IF(WBS!$L50="Doing",2,IF(WBS!$L50="Blocked",4,IF(WBS!$L50="Deferred",5,1)))),""))</f>
        <v/>
      </c>
      <c r="L50" s="58">
        <f>IF(OR(WBS!$F50="",WBS!$T50=""),"",IF(AND(7&gt;=WBS!$F50,7&lt;=WBS!$T50),IF(WBS!$L50="Done",3,IF(WBS!$L50="Doing",2,IF(WBS!$L50="Blocked",4,IF(WBS!$L50="Deferred",5,1)))),""))</f>
        <v>1</v>
      </c>
      <c r="M50" s="58" t="str">
        <f>IF(OR(WBS!$F50="",WBS!$T50=""),"",IF(AND(8&gt;=WBS!$F50,8&lt;=WBS!$T50),IF(WBS!$L50="Done",3,IF(WBS!$L50="Doing",2,IF(WBS!$L50="Blocked",4,IF(WBS!$L50="Deferred",5,1)))),""))</f>
        <v/>
      </c>
      <c r="N50" s="58" t="str">
        <f>IF(OR(WBS!$F50="",WBS!$T50=""),"",IF(AND(9&gt;=WBS!$F50,9&lt;=WBS!$T50),IF(WBS!$L50="Done",3,IF(WBS!$L50="Doing",2,IF(WBS!$L50="Blocked",4,IF(WBS!$L50="Deferred",5,1)))),""))</f>
        <v/>
      </c>
      <c r="O50" s="58" t="str">
        <f>IF(OR(WBS!$F50="",WBS!$T50=""),"",IF(AND(10&gt;=WBS!$F50,10&lt;=WBS!$T50),IF(WBS!$L50="Done",3,IF(WBS!$L50="Doing",2,IF(WBS!$L50="Blocked",4,IF(WBS!$L50="Deferred",5,1)))),""))</f>
        <v/>
      </c>
      <c r="P50" s="58" t="str">
        <f>IF(OR(WBS!$F50="",WBS!$T50=""),"",IF(AND(11&gt;=WBS!$F50,11&lt;=WBS!$T50),IF(WBS!$L50="Done",3,IF(WBS!$L50="Doing",2,IF(WBS!$L50="Blocked",4,IF(WBS!$L50="Deferred",5,1)))),""))</f>
        <v/>
      </c>
      <c r="Q50" s="58" t="str">
        <f>IF(OR(WBS!$F50="",WBS!$T50=""),"",IF(AND(12&gt;=WBS!$F50,12&lt;=WBS!$T50),IF(WBS!$L50="Done",3,IF(WBS!$L50="Doing",2,IF(WBS!$L50="Blocked",4,IF(WBS!$L50="Deferred",5,1)))),""))</f>
        <v/>
      </c>
      <c r="R50" s="58" t="str">
        <f>IF(OR(WBS!$F50="",WBS!$T50=""),"",IF(AND(13&gt;=WBS!$F50,13&lt;=WBS!$T50),IF(WBS!$L50="Done",3,IF(WBS!$L50="Doing",2,IF(WBS!$L50="Blocked",4,IF(WBS!$L50="Deferred",5,1)))),""))</f>
        <v/>
      </c>
      <c r="S50" s="58" t="str">
        <f>IF(OR(WBS!$F50="",WBS!$T50=""),"",IF(AND(14&gt;=WBS!$F50,14&lt;=WBS!$T50),IF(WBS!$L50="Done",3,IF(WBS!$L50="Doing",2,IF(WBS!$L50="Blocked",4,IF(WBS!$L50="Deferred",5,1)))),""))</f>
        <v/>
      </c>
      <c r="T50" s="58" t="str">
        <f>IF(OR(WBS!$F50="",WBS!$T50=""),"",IF(AND(15&gt;=WBS!$F50,15&lt;=WBS!$T50),IF(WBS!$L50="Done",3,IF(WBS!$L50="Doing",2,IF(WBS!$L50="Blocked",4,IF(WBS!$L50="Deferred",5,1)))),""))</f>
        <v/>
      </c>
      <c r="U50" s="58" t="str">
        <f>IF(OR(WBS!$F50="",WBS!$T50=""),"",IF(AND(16&gt;=WBS!$F50,16&lt;=WBS!$T50),IF(WBS!$L50="Done",3,IF(WBS!$L50="Doing",2,IF(WBS!$L50="Blocked",4,IF(WBS!$L50="Deferred",5,1)))),""))</f>
        <v/>
      </c>
      <c r="V50" s="58" t="str">
        <f>IF(OR(WBS!$F50="",WBS!$T50=""),"",IF(AND(17&gt;=WBS!$F50,17&lt;=WBS!$T50),IF(WBS!$L50="Done",3,IF(WBS!$L50="Doing",2,IF(WBS!$L50="Blocked",4,IF(WBS!$L50="Deferred",5,1)))),""))</f>
        <v/>
      </c>
      <c r="W50" s="58" t="str">
        <f>IF(OR(WBS!$F50="",WBS!$T50=""),"",IF(AND(18&gt;=WBS!$F50,18&lt;=WBS!$T50),IF(WBS!$L50="Done",3,IF(WBS!$L50="Doing",2,IF(WBS!$L50="Blocked",4,IF(WBS!$L50="Deferred",5,1)))),""))</f>
        <v/>
      </c>
      <c r="X50" s="58" t="str">
        <f>IF(OR(WBS!$F50="",WBS!$T50=""),"",IF(AND(19&gt;=WBS!$F50,19&lt;=WBS!$T50),IF(WBS!$L50="Done",3,IF(WBS!$L50="Doing",2,IF(WBS!$L50="Blocked",4,IF(WBS!$L50="Deferred",5,1)))),""))</f>
        <v/>
      </c>
      <c r="Y50" s="58" t="str">
        <f>IF(OR(WBS!$F50="",WBS!$T50=""),"",IF(AND(20&gt;=WBS!$F50,20&lt;=WBS!$T50),IF(WBS!$L50="Done",3,IF(WBS!$L50="Doing",2,IF(WBS!$L50="Blocked",4,IF(WBS!$L50="Deferred",5,1)))),""))</f>
        <v/>
      </c>
      <c r="Z50" s="58" t="str">
        <f>IF(OR(WBS!$F50="",WBS!$T50=""),"",IF(AND(21&gt;=WBS!$F50,21&lt;=WBS!$T50),IF(WBS!$L50="Done",3,IF(WBS!$L50="Doing",2,IF(WBS!$L50="Blocked",4,IF(WBS!$L50="Deferred",5,1)))),""))</f>
        <v/>
      </c>
    </row>
    <row r="51" spans="1:26" x14ac:dyDescent="0.3">
      <c r="A51" s="64" t="str">
        <f>WBS!$A51</f>
        <v>3.3.3</v>
      </c>
      <c r="B51" s="65" t="str">
        <f>WBS!$C51</f>
        <v xml:space="preserve">        OpenAPI document and generated typed clients</v>
      </c>
      <c r="C51" s="66" t="str">
        <f>IF(WBS!$E51="","",WBS!$E51)</f>
        <v>BE</v>
      </c>
      <c r="D51" s="67">
        <f>WBS!$J51</f>
        <v>1</v>
      </c>
      <c r="E51" s="68">
        <f>WBS!$M51</f>
        <v>0</v>
      </c>
      <c r="F51" s="58" t="str">
        <f>IF(OR(WBS!$F51="",WBS!$T51=""),"",IF(AND(1&gt;=WBS!$F51,1&lt;=WBS!$T51),IF(WBS!$L51="Done",3,IF(WBS!$L51="Doing",2,IF(WBS!$L51="Blocked",4,IF(WBS!$L51="Deferred",5,1)))),""))</f>
        <v/>
      </c>
      <c r="G51" s="58" t="str">
        <f>IF(OR(WBS!$F51="",WBS!$T51=""),"",IF(AND(2&gt;=WBS!$F51,2&lt;=WBS!$T51),IF(WBS!$L51="Done",3,IF(WBS!$L51="Doing",2,IF(WBS!$L51="Blocked",4,IF(WBS!$L51="Deferred",5,1)))),""))</f>
        <v/>
      </c>
      <c r="H51" s="58" t="str">
        <f>IF(OR(WBS!$F51="",WBS!$T51=""),"",IF(AND(3&gt;=WBS!$F51,3&lt;=WBS!$T51),IF(WBS!$L51="Done",3,IF(WBS!$L51="Doing",2,IF(WBS!$L51="Blocked",4,IF(WBS!$L51="Deferred",5,1)))),""))</f>
        <v/>
      </c>
      <c r="I51" s="58" t="str">
        <f>IF(OR(WBS!$F51="",WBS!$T51=""),"",IF(AND(4&gt;=WBS!$F51,4&lt;=WBS!$T51),IF(WBS!$L51="Done",3,IF(WBS!$L51="Doing",2,IF(WBS!$L51="Blocked",4,IF(WBS!$L51="Deferred",5,1)))),""))</f>
        <v/>
      </c>
      <c r="J51" s="58" t="str">
        <f>IF(OR(WBS!$F51="",WBS!$T51=""),"",IF(AND(5&gt;=WBS!$F51,5&lt;=WBS!$T51),IF(WBS!$L51="Done",3,IF(WBS!$L51="Doing",2,IF(WBS!$L51="Blocked",4,IF(WBS!$L51="Deferred",5,1)))),""))</f>
        <v/>
      </c>
      <c r="K51" s="58" t="str">
        <f>IF(OR(WBS!$F51="",WBS!$T51=""),"",IF(AND(6&gt;=WBS!$F51,6&lt;=WBS!$T51),IF(WBS!$L51="Done",3,IF(WBS!$L51="Doing",2,IF(WBS!$L51="Blocked",4,IF(WBS!$L51="Deferred",5,1)))),""))</f>
        <v/>
      </c>
      <c r="L51" s="58">
        <f>IF(OR(WBS!$F51="",WBS!$T51=""),"",IF(AND(7&gt;=WBS!$F51,7&lt;=WBS!$T51),IF(WBS!$L51="Done",3,IF(WBS!$L51="Doing",2,IF(WBS!$L51="Blocked",4,IF(WBS!$L51="Deferred",5,1)))),""))</f>
        <v>1</v>
      </c>
      <c r="M51" s="58" t="str">
        <f>IF(OR(WBS!$F51="",WBS!$T51=""),"",IF(AND(8&gt;=WBS!$F51,8&lt;=WBS!$T51),IF(WBS!$L51="Done",3,IF(WBS!$L51="Doing",2,IF(WBS!$L51="Blocked",4,IF(WBS!$L51="Deferred",5,1)))),""))</f>
        <v/>
      </c>
      <c r="N51" s="58" t="str">
        <f>IF(OR(WBS!$F51="",WBS!$T51=""),"",IF(AND(9&gt;=WBS!$F51,9&lt;=WBS!$T51),IF(WBS!$L51="Done",3,IF(WBS!$L51="Doing",2,IF(WBS!$L51="Blocked",4,IF(WBS!$L51="Deferred",5,1)))),""))</f>
        <v/>
      </c>
      <c r="O51" s="58" t="str">
        <f>IF(OR(WBS!$F51="",WBS!$T51=""),"",IF(AND(10&gt;=WBS!$F51,10&lt;=WBS!$T51),IF(WBS!$L51="Done",3,IF(WBS!$L51="Doing",2,IF(WBS!$L51="Blocked",4,IF(WBS!$L51="Deferred",5,1)))),""))</f>
        <v/>
      </c>
      <c r="P51" s="58" t="str">
        <f>IF(OR(WBS!$F51="",WBS!$T51=""),"",IF(AND(11&gt;=WBS!$F51,11&lt;=WBS!$T51),IF(WBS!$L51="Done",3,IF(WBS!$L51="Doing",2,IF(WBS!$L51="Blocked",4,IF(WBS!$L51="Deferred",5,1)))),""))</f>
        <v/>
      </c>
      <c r="Q51" s="58" t="str">
        <f>IF(OR(WBS!$F51="",WBS!$T51=""),"",IF(AND(12&gt;=WBS!$F51,12&lt;=WBS!$T51),IF(WBS!$L51="Done",3,IF(WBS!$L51="Doing",2,IF(WBS!$L51="Blocked",4,IF(WBS!$L51="Deferred",5,1)))),""))</f>
        <v/>
      </c>
      <c r="R51" s="58" t="str">
        <f>IF(OR(WBS!$F51="",WBS!$T51=""),"",IF(AND(13&gt;=WBS!$F51,13&lt;=WBS!$T51),IF(WBS!$L51="Done",3,IF(WBS!$L51="Doing",2,IF(WBS!$L51="Blocked",4,IF(WBS!$L51="Deferred",5,1)))),""))</f>
        <v/>
      </c>
      <c r="S51" s="58" t="str">
        <f>IF(OR(WBS!$F51="",WBS!$T51=""),"",IF(AND(14&gt;=WBS!$F51,14&lt;=WBS!$T51),IF(WBS!$L51="Done",3,IF(WBS!$L51="Doing",2,IF(WBS!$L51="Blocked",4,IF(WBS!$L51="Deferred",5,1)))),""))</f>
        <v/>
      </c>
      <c r="T51" s="58" t="str">
        <f>IF(OR(WBS!$F51="",WBS!$T51=""),"",IF(AND(15&gt;=WBS!$F51,15&lt;=WBS!$T51),IF(WBS!$L51="Done",3,IF(WBS!$L51="Doing",2,IF(WBS!$L51="Blocked",4,IF(WBS!$L51="Deferred",5,1)))),""))</f>
        <v/>
      </c>
      <c r="U51" s="58" t="str">
        <f>IF(OR(WBS!$F51="",WBS!$T51=""),"",IF(AND(16&gt;=WBS!$F51,16&lt;=WBS!$T51),IF(WBS!$L51="Done",3,IF(WBS!$L51="Doing",2,IF(WBS!$L51="Blocked",4,IF(WBS!$L51="Deferred",5,1)))),""))</f>
        <v/>
      </c>
      <c r="V51" s="58" t="str">
        <f>IF(OR(WBS!$F51="",WBS!$T51=""),"",IF(AND(17&gt;=WBS!$F51,17&lt;=WBS!$T51),IF(WBS!$L51="Done",3,IF(WBS!$L51="Doing",2,IF(WBS!$L51="Blocked",4,IF(WBS!$L51="Deferred",5,1)))),""))</f>
        <v/>
      </c>
      <c r="W51" s="58" t="str">
        <f>IF(OR(WBS!$F51="",WBS!$T51=""),"",IF(AND(18&gt;=WBS!$F51,18&lt;=WBS!$T51),IF(WBS!$L51="Done",3,IF(WBS!$L51="Doing",2,IF(WBS!$L51="Blocked",4,IF(WBS!$L51="Deferred",5,1)))),""))</f>
        <v/>
      </c>
      <c r="X51" s="58" t="str">
        <f>IF(OR(WBS!$F51="",WBS!$T51=""),"",IF(AND(19&gt;=WBS!$F51,19&lt;=WBS!$T51),IF(WBS!$L51="Done",3,IF(WBS!$L51="Doing",2,IF(WBS!$L51="Blocked",4,IF(WBS!$L51="Deferred",5,1)))),""))</f>
        <v/>
      </c>
      <c r="Y51" s="58" t="str">
        <f>IF(OR(WBS!$F51="",WBS!$T51=""),"",IF(AND(20&gt;=WBS!$F51,20&lt;=WBS!$T51),IF(WBS!$L51="Done",3,IF(WBS!$L51="Doing",2,IF(WBS!$L51="Blocked",4,IF(WBS!$L51="Deferred",5,1)))),""))</f>
        <v/>
      </c>
      <c r="Z51" s="58" t="str">
        <f>IF(OR(WBS!$F51="",WBS!$T51=""),"",IF(AND(21&gt;=WBS!$F51,21&lt;=WBS!$T51),IF(WBS!$L51="Done",3,IF(WBS!$L51="Doing",2,IF(WBS!$L51="Blocked",4,IF(WBS!$L51="Deferred",5,1)))),""))</f>
        <v/>
      </c>
    </row>
    <row r="52" spans="1:26" x14ac:dyDescent="0.3">
      <c r="A52" s="59" t="str">
        <f>WBS!$A52</f>
        <v>3.4</v>
      </c>
      <c r="B52" s="60" t="str">
        <f>WBS!$C52</f>
        <v xml:space="preserve">    Engineering platform</v>
      </c>
      <c r="C52" s="61" t="str">
        <f>IF(WBS!$E52="","",WBS!$E52)</f>
        <v/>
      </c>
      <c r="D52" s="62">
        <f>WBS!$J52</f>
        <v>4.5</v>
      </c>
      <c r="E52" s="63">
        <f>WBS!$M52</f>
        <v>0</v>
      </c>
      <c r="F52" s="58" t="str">
        <f>IF(OR(WBS!$F52="",WBS!$T52=""),"",IF(AND(1&gt;=WBS!$F52,1&lt;=WBS!$T52),IF(WBS!$L52="Done",3,IF(WBS!$L52="Doing",2,IF(WBS!$L52="Blocked",4,IF(WBS!$L52="Deferred",5,1)))),""))</f>
        <v/>
      </c>
      <c r="G52" s="58" t="str">
        <f>IF(OR(WBS!$F52="",WBS!$T52=""),"",IF(AND(2&gt;=WBS!$F52,2&lt;=WBS!$T52),IF(WBS!$L52="Done",3,IF(WBS!$L52="Doing",2,IF(WBS!$L52="Blocked",4,IF(WBS!$L52="Deferred",5,1)))),""))</f>
        <v/>
      </c>
      <c r="H52" s="58" t="str">
        <f>IF(OR(WBS!$F52="",WBS!$T52=""),"",IF(AND(3&gt;=WBS!$F52,3&lt;=WBS!$T52),IF(WBS!$L52="Done",3,IF(WBS!$L52="Doing",2,IF(WBS!$L52="Blocked",4,IF(WBS!$L52="Deferred",5,1)))),""))</f>
        <v/>
      </c>
      <c r="I52" s="58" t="str">
        <f>IF(OR(WBS!$F52="",WBS!$T52=""),"",IF(AND(4&gt;=WBS!$F52,4&lt;=WBS!$T52),IF(WBS!$L52="Done",3,IF(WBS!$L52="Doing",2,IF(WBS!$L52="Blocked",4,IF(WBS!$L52="Deferred",5,1)))),""))</f>
        <v/>
      </c>
      <c r="J52" s="58" t="str">
        <f>IF(OR(WBS!$F52="",WBS!$T52=""),"",IF(AND(5&gt;=WBS!$F52,5&lt;=WBS!$T52),IF(WBS!$L52="Done",3,IF(WBS!$L52="Doing",2,IF(WBS!$L52="Blocked",4,IF(WBS!$L52="Deferred",5,1)))),""))</f>
        <v/>
      </c>
      <c r="K52" s="58">
        <f>IF(OR(WBS!$F52="",WBS!$T52=""),"",IF(AND(6&gt;=WBS!$F52,6&lt;=WBS!$T52),IF(WBS!$L52="Done",3,IF(WBS!$L52="Doing",2,IF(WBS!$L52="Blocked",4,IF(WBS!$L52="Deferred",5,1)))),""))</f>
        <v>1</v>
      </c>
      <c r="L52" s="58">
        <f>IF(OR(WBS!$F52="",WBS!$T52=""),"",IF(AND(7&gt;=WBS!$F52,7&lt;=WBS!$T52),IF(WBS!$L52="Done",3,IF(WBS!$L52="Doing",2,IF(WBS!$L52="Blocked",4,IF(WBS!$L52="Deferred",5,1)))),""))</f>
        <v>1</v>
      </c>
      <c r="M52" s="58" t="str">
        <f>IF(OR(WBS!$F52="",WBS!$T52=""),"",IF(AND(8&gt;=WBS!$F52,8&lt;=WBS!$T52),IF(WBS!$L52="Done",3,IF(WBS!$L52="Doing",2,IF(WBS!$L52="Blocked",4,IF(WBS!$L52="Deferred",5,1)))),""))</f>
        <v/>
      </c>
      <c r="N52" s="58" t="str">
        <f>IF(OR(WBS!$F52="",WBS!$T52=""),"",IF(AND(9&gt;=WBS!$F52,9&lt;=WBS!$T52),IF(WBS!$L52="Done",3,IF(WBS!$L52="Doing",2,IF(WBS!$L52="Blocked",4,IF(WBS!$L52="Deferred",5,1)))),""))</f>
        <v/>
      </c>
      <c r="O52" s="58" t="str">
        <f>IF(OR(WBS!$F52="",WBS!$T52=""),"",IF(AND(10&gt;=WBS!$F52,10&lt;=WBS!$T52),IF(WBS!$L52="Done",3,IF(WBS!$L52="Doing",2,IF(WBS!$L52="Blocked",4,IF(WBS!$L52="Deferred",5,1)))),""))</f>
        <v/>
      </c>
      <c r="P52" s="58" t="str">
        <f>IF(OR(WBS!$F52="",WBS!$T52=""),"",IF(AND(11&gt;=WBS!$F52,11&lt;=WBS!$T52),IF(WBS!$L52="Done",3,IF(WBS!$L52="Doing",2,IF(WBS!$L52="Blocked",4,IF(WBS!$L52="Deferred",5,1)))),""))</f>
        <v/>
      </c>
      <c r="Q52" s="58" t="str">
        <f>IF(OR(WBS!$F52="",WBS!$T52=""),"",IF(AND(12&gt;=WBS!$F52,12&lt;=WBS!$T52),IF(WBS!$L52="Done",3,IF(WBS!$L52="Doing",2,IF(WBS!$L52="Blocked",4,IF(WBS!$L52="Deferred",5,1)))),""))</f>
        <v/>
      </c>
      <c r="R52" s="58" t="str">
        <f>IF(OR(WBS!$F52="",WBS!$T52=""),"",IF(AND(13&gt;=WBS!$F52,13&lt;=WBS!$T52),IF(WBS!$L52="Done",3,IF(WBS!$L52="Doing",2,IF(WBS!$L52="Blocked",4,IF(WBS!$L52="Deferred",5,1)))),""))</f>
        <v/>
      </c>
      <c r="S52" s="58" t="str">
        <f>IF(OR(WBS!$F52="",WBS!$T52=""),"",IF(AND(14&gt;=WBS!$F52,14&lt;=WBS!$T52),IF(WBS!$L52="Done",3,IF(WBS!$L52="Doing",2,IF(WBS!$L52="Blocked",4,IF(WBS!$L52="Deferred",5,1)))),""))</f>
        <v/>
      </c>
      <c r="T52" s="58" t="str">
        <f>IF(OR(WBS!$F52="",WBS!$T52=""),"",IF(AND(15&gt;=WBS!$F52,15&lt;=WBS!$T52),IF(WBS!$L52="Done",3,IF(WBS!$L52="Doing",2,IF(WBS!$L52="Blocked",4,IF(WBS!$L52="Deferred",5,1)))),""))</f>
        <v/>
      </c>
      <c r="U52" s="58" t="str">
        <f>IF(OR(WBS!$F52="",WBS!$T52=""),"",IF(AND(16&gt;=WBS!$F52,16&lt;=WBS!$T52),IF(WBS!$L52="Done",3,IF(WBS!$L52="Doing",2,IF(WBS!$L52="Blocked",4,IF(WBS!$L52="Deferred",5,1)))),""))</f>
        <v/>
      </c>
      <c r="V52" s="58" t="str">
        <f>IF(OR(WBS!$F52="",WBS!$T52=""),"",IF(AND(17&gt;=WBS!$F52,17&lt;=WBS!$T52),IF(WBS!$L52="Done",3,IF(WBS!$L52="Doing",2,IF(WBS!$L52="Blocked",4,IF(WBS!$L52="Deferred",5,1)))),""))</f>
        <v/>
      </c>
      <c r="W52" s="58" t="str">
        <f>IF(OR(WBS!$F52="",WBS!$T52=""),"",IF(AND(18&gt;=WBS!$F52,18&lt;=WBS!$T52),IF(WBS!$L52="Done",3,IF(WBS!$L52="Doing",2,IF(WBS!$L52="Blocked",4,IF(WBS!$L52="Deferred",5,1)))),""))</f>
        <v/>
      </c>
      <c r="X52" s="58" t="str">
        <f>IF(OR(WBS!$F52="",WBS!$T52=""),"",IF(AND(19&gt;=WBS!$F52,19&lt;=WBS!$T52),IF(WBS!$L52="Done",3,IF(WBS!$L52="Doing",2,IF(WBS!$L52="Blocked",4,IF(WBS!$L52="Deferred",5,1)))),""))</f>
        <v/>
      </c>
      <c r="Y52" s="58" t="str">
        <f>IF(OR(WBS!$F52="",WBS!$T52=""),"",IF(AND(20&gt;=WBS!$F52,20&lt;=WBS!$T52),IF(WBS!$L52="Done",3,IF(WBS!$L52="Doing",2,IF(WBS!$L52="Blocked",4,IF(WBS!$L52="Deferred",5,1)))),""))</f>
        <v/>
      </c>
      <c r="Z52" s="58" t="str">
        <f>IF(OR(WBS!$F52="",WBS!$T52=""),"",IF(AND(21&gt;=WBS!$F52,21&lt;=WBS!$T52),IF(WBS!$L52="Done",3,IF(WBS!$L52="Doing",2,IF(WBS!$L52="Blocked",4,IF(WBS!$L52="Deferred",5,1)))),""))</f>
        <v/>
      </c>
    </row>
    <row r="53" spans="1:26" ht="26.4" x14ac:dyDescent="0.3">
      <c r="A53" s="64" t="str">
        <f>WBS!$A53</f>
        <v>3.4.1</v>
      </c>
      <c r="B53" s="65" t="str">
        <f>WBS!$C53</f>
        <v xml:space="preserve">        Docker compose api, db, redis, seq plus Flutter toolchain smoke test</v>
      </c>
      <c r="C53" s="66" t="str">
        <f>IF(WBS!$E53="","",WBS!$E53)</f>
        <v>OPS</v>
      </c>
      <c r="D53" s="67">
        <f>WBS!$J53</f>
        <v>1.5</v>
      </c>
      <c r="E53" s="68">
        <f>WBS!$M53</f>
        <v>0</v>
      </c>
      <c r="F53" s="58" t="str">
        <f>IF(OR(WBS!$F53="",WBS!$T53=""),"",IF(AND(1&gt;=WBS!$F53,1&lt;=WBS!$T53),IF(WBS!$L53="Done",3,IF(WBS!$L53="Doing",2,IF(WBS!$L53="Blocked",4,IF(WBS!$L53="Deferred",5,1)))),""))</f>
        <v/>
      </c>
      <c r="G53" s="58" t="str">
        <f>IF(OR(WBS!$F53="",WBS!$T53=""),"",IF(AND(2&gt;=WBS!$F53,2&lt;=WBS!$T53),IF(WBS!$L53="Done",3,IF(WBS!$L53="Doing",2,IF(WBS!$L53="Blocked",4,IF(WBS!$L53="Deferred",5,1)))),""))</f>
        <v/>
      </c>
      <c r="H53" s="58" t="str">
        <f>IF(OR(WBS!$F53="",WBS!$T53=""),"",IF(AND(3&gt;=WBS!$F53,3&lt;=WBS!$T53),IF(WBS!$L53="Done",3,IF(WBS!$L53="Doing",2,IF(WBS!$L53="Blocked",4,IF(WBS!$L53="Deferred",5,1)))),""))</f>
        <v/>
      </c>
      <c r="I53" s="58" t="str">
        <f>IF(OR(WBS!$F53="",WBS!$T53=""),"",IF(AND(4&gt;=WBS!$F53,4&lt;=WBS!$T53),IF(WBS!$L53="Done",3,IF(WBS!$L53="Doing",2,IF(WBS!$L53="Blocked",4,IF(WBS!$L53="Deferred",5,1)))),""))</f>
        <v/>
      </c>
      <c r="J53" s="58" t="str">
        <f>IF(OR(WBS!$F53="",WBS!$T53=""),"",IF(AND(5&gt;=WBS!$F53,5&lt;=WBS!$T53),IF(WBS!$L53="Done",3,IF(WBS!$L53="Doing",2,IF(WBS!$L53="Blocked",4,IF(WBS!$L53="Deferred",5,1)))),""))</f>
        <v/>
      </c>
      <c r="K53" s="58">
        <f>IF(OR(WBS!$F53="",WBS!$T53=""),"",IF(AND(6&gt;=WBS!$F53,6&lt;=WBS!$T53),IF(WBS!$L53="Done",3,IF(WBS!$L53="Doing",2,IF(WBS!$L53="Blocked",4,IF(WBS!$L53="Deferred",5,1)))),""))</f>
        <v>1</v>
      </c>
      <c r="L53" s="58" t="str">
        <f>IF(OR(WBS!$F53="",WBS!$T53=""),"",IF(AND(7&gt;=WBS!$F53,7&lt;=WBS!$T53),IF(WBS!$L53="Done",3,IF(WBS!$L53="Doing",2,IF(WBS!$L53="Blocked",4,IF(WBS!$L53="Deferred",5,1)))),""))</f>
        <v/>
      </c>
      <c r="M53" s="58" t="str">
        <f>IF(OR(WBS!$F53="",WBS!$T53=""),"",IF(AND(8&gt;=WBS!$F53,8&lt;=WBS!$T53),IF(WBS!$L53="Done",3,IF(WBS!$L53="Doing",2,IF(WBS!$L53="Blocked",4,IF(WBS!$L53="Deferred",5,1)))),""))</f>
        <v/>
      </c>
      <c r="N53" s="58" t="str">
        <f>IF(OR(WBS!$F53="",WBS!$T53=""),"",IF(AND(9&gt;=WBS!$F53,9&lt;=WBS!$T53),IF(WBS!$L53="Done",3,IF(WBS!$L53="Doing",2,IF(WBS!$L53="Blocked",4,IF(WBS!$L53="Deferred",5,1)))),""))</f>
        <v/>
      </c>
      <c r="O53" s="58" t="str">
        <f>IF(OR(WBS!$F53="",WBS!$T53=""),"",IF(AND(10&gt;=WBS!$F53,10&lt;=WBS!$T53),IF(WBS!$L53="Done",3,IF(WBS!$L53="Doing",2,IF(WBS!$L53="Blocked",4,IF(WBS!$L53="Deferred",5,1)))),""))</f>
        <v/>
      </c>
      <c r="P53" s="58" t="str">
        <f>IF(OR(WBS!$F53="",WBS!$T53=""),"",IF(AND(11&gt;=WBS!$F53,11&lt;=WBS!$T53),IF(WBS!$L53="Done",3,IF(WBS!$L53="Doing",2,IF(WBS!$L53="Blocked",4,IF(WBS!$L53="Deferred",5,1)))),""))</f>
        <v/>
      </c>
      <c r="Q53" s="58" t="str">
        <f>IF(OR(WBS!$F53="",WBS!$T53=""),"",IF(AND(12&gt;=WBS!$F53,12&lt;=WBS!$T53),IF(WBS!$L53="Done",3,IF(WBS!$L53="Doing",2,IF(WBS!$L53="Blocked",4,IF(WBS!$L53="Deferred",5,1)))),""))</f>
        <v/>
      </c>
      <c r="R53" s="58" t="str">
        <f>IF(OR(WBS!$F53="",WBS!$T53=""),"",IF(AND(13&gt;=WBS!$F53,13&lt;=WBS!$T53),IF(WBS!$L53="Done",3,IF(WBS!$L53="Doing",2,IF(WBS!$L53="Blocked",4,IF(WBS!$L53="Deferred",5,1)))),""))</f>
        <v/>
      </c>
      <c r="S53" s="58" t="str">
        <f>IF(OR(WBS!$F53="",WBS!$T53=""),"",IF(AND(14&gt;=WBS!$F53,14&lt;=WBS!$T53),IF(WBS!$L53="Done",3,IF(WBS!$L53="Doing",2,IF(WBS!$L53="Blocked",4,IF(WBS!$L53="Deferred",5,1)))),""))</f>
        <v/>
      </c>
      <c r="T53" s="58" t="str">
        <f>IF(OR(WBS!$F53="",WBS!$T53=""),"",IF(AND(15&gt;=WBS!$F53,15&lt;=WBS!$T53),IF(WBS!$L53="Done",3,IF(WBS!$L53="Doing",2,IF(WBS!$L53="Blocked",4,IF(WBS!$L53="Deferred",5,1)))),""))</f>
        <v/>
      </c>
      <c r="U53" s="58" t="str">
        <f>IF(OR(WBS!$F53="",WBS!$T53=""),"",IF(AND(16&gt;=WBS!$F53,16&lt;=WBS!$T53),IF(WBS!$L53="Done",3,IF(WBS!$L53="Doing",2,IF(WBS!$L53="Blocked",4,IF(WBS!$L53="Deferred",5,1)))),""))</f>
        <v/>
      </c>
      <c r="V53" s="58" t="str">
        <f>IF(OR(WBS!$F53="",WBS!$T53=""),"",IF(AND(17&gt;=WBS!$F53,17&lt;=WBS!$T53),IF(WBS!$L53="Done",3,IF(WBS!$L53="Doing",2,IF(WBS!$L53="Blocked",4,IF(WBS!$L53="Deferred",5,1)))),""))</f>
        <v/>
      </c>
      <c r="W53" s="58" t="str">
        <f>IF(OR(WBS!$F53="",WBS!$T53=""),"",IF(AND(18&gt;=WBS!$F53,18&lt;=WBS!$T53),IF(WBS!$L53="Done",3,IF(WBS!$L53="Doing",2,IF(WBS!$L53="Blocked",4,IF(WBS!$L53="Deferred",5,1)))),""))</f>
        <v/>
      </c>
      <c r="X53" s="58" t="str">
        <f>IF(OR(WBS!$F53="",WBS!$T53=""),"",IF(AND(19&gt;=WBS!$F53,19&lt;=WBS!$T53),IF(WBS!$L53="Done",3,IF(WBS!$L53="Doing",2,IF(WBS!$L53="Blocked",4,IF(WBS!$L53="Deferred",5,1)))),""))</f>
        <v/>
      </c>
      <c r="Y53" s="58" t="str">
        <f>IF(OR(WBS!$F53="",WBS!$T53=""),"",IF(AND(20&gt;=WBS!$F53,20&lt;=WBS!$T53),IF(WBS!$L53="Done",3,IF(WBS!$L53="Doing",2,IF(WBS!$L53="Blocked",4,IF(WBS!$L53="Deferred",5,1)))),""))</f>
        <v/>
      </c>
      <c r="Z53" s="58" t="str">
        <f>IF(OR(WBS!$F53="",WBS!$T53=""),"",IF(AND(21&gt;=WBS!$F53,21&lt;=WBS!$T53),IF(WBS!$L53="Done",3,IF(WBS!$L53="Doing",2,IF(WBS!$L53="Blocked",4,IF(WBS!$L53="Deferred",5,1)))),""))</f>
        <v/>
      </c>
    </row>
    <row r="54" spans="1:26" x14ac:dyDescent="0.3">
      <c r="A54" s="64" t="str">
        <f>WBS!$A54</f>
        <v>3.4.2</v>
      </c>
      <c r="B54" s="65" t="str">
        <f>WBS!$C54</f>
        <v xml:space="preserve">        First domain unit tests and IClock abstraction</v>
      </c>
      <c r="C54" s="66" t="str">
        <f>IF(WBS!$E54="","",WBS!$E54)</f>
        <v>QA</v>
      </c>
      <c r="D54" s="67">
        <f>WBS!$J54</f>
        <v>1</v>
      </c>
      <c r="E54" s="68">
        <f>WBS!$M54</f>
        <v>0</v>
      </c>
      <c r="F54" s="58" t="str">
        <f>IF(OR(WBS!$F54="",WBS!$T54=""),"",IF(AND(1&gt;=WBS!$F54,1&lt;=WBS!$T54),IF(WBS!$L54="Done",3,IF(WBS!$L54="Doing",2,IF(WBS!$L54="Blocked",4,IF(WBS!$L54="Deferred",5,1)))),""))</f>
        <v/>
      </c>
      <c r="G54" s="58" t="str">
        <f>IF(OR(WBS!$F54="",WBS!$T54=""),"",IF(AND(2&gt;=WBS!$F54,2&lt;=WBS!$T54),IF(WBS!$L54="Done",3,IF(WBS!$L54="Doing",2,IF(WBS!$L54="Blocked",4,IF(WBS!$L54="Deferred",5,1)))),""))</f>
        <v/>
      </c>
      <c r="H54" s="58" t="str">
        <f>IF(OR(WBS!$F54="",WBS!$T54=""),"",IF(AND(3&gt;=WBS!$F54,3&lt;=WBS!$T54),IF(WBS!$L54="Done",3,IF(WBS!$L54="Doing",2,IF(WBS!$L54="Blocked",4,IF(WBS!$L54="Deferred",5,1)))),""))</f>
        <v/>
      </c>
      <c r="I54" s="58" t="str">
        <f>IF(OR(WBS!$F54="",WBS!$T54=""),"",IF(AND(4&gt;=WBS!$F54,4&lt;=WBS!$T54),IF(WBS!$L54="Done",3,IF(WBS!$L54="Doing",2,IF(WBS!$L54="Blocked",4,IF(WBS!$L54="Deferred",5,1)))),""))</f>
        <v/>
      </c>
      <c r="J54" s="58" t="str">
        <f>IF(OR(WBS!$F54="",WBS!$T54=""),"",IF(AND(5&gt;=WBS!$F54,5&lt;=WBS!$T54),IF(WBS!$L54="Done",3,IF(WBS!$L54="Doing",2,IF(WBS!$L54="Blocked",4,IF(WBS!$L54="Deferred",5,1)))),""))</f>
        <v/>
      </c>
      <c r="K54" s="58">
        <f>IF(OR(WBS!$F54="",WBS!$T54=""),"",IF(AND(6&gt;=WBS!$F54,6&lt;=WBS!$T54),IF(WBS!$L54="Done",3,IF(WBS!$L54="Doing",2,IF(WBS!$L54="Blocked",4,IF(WBS!$L54="Deferred",5,1)))),""))</f>
        <v>1</v>
      </c>
      <c r="L54" s="58" t="str">
        <f>IF(OR(WBS!$F54="",WBS!$T54=""),"",IF(AND(7&gt;=WBS!$F54,7&lt;=WBS!$T54),IF(WBS!$L54="Done",3,IF(WBS!$L54="Doing",2,IF(WBS!$L54="Blocked",4,IF(WBS!$L54="Deferred",5,1)))),""))</f>
        <v/>
      </c>
      <c r="M54" s="58" t="str">
        <f>IF(OR(WBS!$F54="",WBS!$T54=""),"",IF(AND(8&gt;=WBS!$F54,8&lt;=WBS!$T54),IF(WBS!$L54="Done",3,IF(WBS!$L54="Doing",2,IF(WBS!$L54="Blocked",4,IF(WBS!$L54="Deferred",5,1)))),""))</f>
        <v/>
      </c>
      <c r="N54" s="58" t="str">
        <f>IF(OR(WBS!$F54="",WBS!$T54=""),"",IF(AND(9&gt;=WBS!$F54,9&lt;=WBS!$T54),IF(WBS!$L54="Done",3,IF(WBS!$L54="Doing",2,IF(WBS!$L54="Blocked",4,IF(WBS!$L54="Deferred",5,1)))),""))</f>
        <v/>
      </c>
      <c r="O54" s="58" t="str">
        <f>IF(OR(WBS!$F54="",WBS!$T54=""),"",IF(AND(10&gt;=WBS!$F54,10&lt;=WBS!$T54),IF(WBS!$L54="Done",3,IF(WBS!$L54="Doing",2,IF(WBS!$L54="Blocked",4,IF(WBS!$L54="Deferred",5,1)))),""))</f>
        <v/>
      </c>
      <c r="P54" s="58" t="str">
        <f>IF(OR(WBS!$F54="",WBS!$T54=""),"",IF(AND(11&gt;=WBS!$F54,11&lt;=WBS!$T54),IF(WBS!$L54="Done",3,IF(WBS!$L54="Doing",2,IF(WBS!$L54="Blocked",4,IF(WBS!$L54="Deferred",5,1)))),""))</f>
        <v/>
      </c>
      <c r="Q54" s="58" t="str">
        <f>IF(OR(WBS!$F54="",WBS!$T54=""),"",IF(AND(12&gt;=WBS!$F54,12&lt;=WBS!$T54),IF(WBS!$L54="Done",3,IF(WBS!$L54="Doing",2,IF(WBS!$L54="Blocked",4,IF(WBS!$L54="Deferred",5,1)))),""))</f>
        <v/>
      </c>
      <c r="R54" s="58" t="str">
        <f>IF(OR(WBS!$F54="",WBS!$T54=""),"",IF(AND(13&gt;=WBS!$F54,13&lt;=WBS!$T54),IF(WBS!$L54="Done",3,IF(WBS!$L54="Doing",2,IF(WBS!$L54="Blocked",4,IF(WBS!$L54="Deferred",5,1)))),""))</f>
        <v/>
      </c>
      <c r="S54" s="58" t="str">
        <f>IF(OR(WBS!$F54="",WBS!$T54=""),"",IF(AND(14&gt;=WBS!$F54,14&lt;=WBS!$T54),IF(WBS!$L54="Done",3,IF(WBS!$L54="Doing",2,IF(WBS!$L54="Blocked",4,IF(WBS!$L54="Deferred",5,1)))),""))</f>
        <v/>
      </c>
      <c r="T54" s="58" t="str">
        <f>IF(OR(WBS!$F54="",WBS!$T54=""),"",IF(AND(15&gt;=WBS!$F54,15&lt;=WBS!$T54),IF(WBS!$L54="Done",3,IF(WBS!$L54="Doing",2,IF(WBS!$L54="Blocked",4,IF(WBS!$L54="Deferred",5,1)))),""))</f>
        <v/>
      </c>
      <c r="U54" s="58" t="str">
        <f>IF(OR(WBS!$F54="",WBS!$T54=""),"",IF(AND(16&gt;=WBS!$F54,16&lt;=WBS!$T54),IF(WBS!$L54="Done",3,IF(WBS!$L54="Doing",2,IF(WBS!$L54="Blocked",4,IF(WBS!$L54="Deferred",5,1)))),""))</f>
        <v/>
      </c>
      <c r="V54" s="58" t="str">
        <f>IF(OR(WBS!$F54="",WBS!$T54=""),"",IF(AND(17&gt;=WBS!$F54,17&lt;=WBS!$T54),IF(WBS!$L54="Done",3,IF(WBS!$L54="Doing",2,IF(WBS!$L54="Blocked",4,IF(WBS!$L54="Deferred",5,1)))),""))</f>
        <v/>
      </c>
      <c r="W54" s="58" t="str">
        <f>IF(OR(WBS!$F54="",WBS!$T54=""),"",IF(AND(18&gt;=WBS!$F54,18&lt;=WBS!$T54),IF(WBS!$L54="Done",3,IF(WBS!$L54="Doing",2,IF(WBS!$L54="Blocked",4,IF(WBS!$L54="Deferred",5,1)))),""))</f>
        <v/>
      </c>
      <c r="X54" s="58" t="str">
        <f>IF(OR(WBS!$F54="",WBS!$T54=""),"",IF(AND(19&gt;=WBS!$F54,19&lt;=WBS!$T54),IF(WBS!$L54="Done",3,IF(WBS!$L54="Doing",2,IF(WBS!$L54="Blocked",4,IF(WBS!$L54="Deferred",5,1)))),""))</f>
        <v/>
      </c>
      <c r="Y54" s="58" t="str">
        <f>IF(OR(WBS!$F54="",WBS!$T54=""),"",IF(AND(20&gt;=WBS!$F54,20&lt;=WBS!$T54),IF(WBS!$L54="Done",3,IF(WBS!$L54="Doing",2,IF(WBS!$L54="Blocked",4,IF(WBS!$L54="Deferred",5,1)))),""))</f>
        <v/>
      </c>
      <c r="Z54" s="58" t="str">
        <f>IF(OR(WBS!$F54="",WBS!$T54=""),"",IF(AND(21&gt;=WBS!$F54,21&lt;=WBS!$T54),IF(WBS!$L54="Done",3,IF(WBS!$L54="Doing",2,IF(WBS!$L54="Blocked",4,IF(WBS!$L54="Deferred",5,1)))),""))</f>
        <v/>
      </c>
    </row>
    <row r="55" spans="1:26" x14ac:dyDescent="0.3">
      <c r="A55" s="64" t="str">
        <f>WBS!$A55</f>
        <v>3.4.3</v>
      </c>
      <c r="B55" s="65" t="str">
        <f>WBS!$C55</f>
        <v xml:space="preserve">        GitHub Actions - build, unit, integration, architecture tests</v>
      </c>
      <c r="C55" s="66" t="str">
        <f>IF(WBS!$E55="","",WBS!$E55)</f>
        <v>QA</v>
      </c>
      <c r="D55" s="67">
        <f>WBS!$J55</f>
        <v>2</v>
      </c>
      <c r="E55" s="68">
        <f>WBS!$M55</f>
        <v>0</v>
      </c>
      <c r="F55" s="58" t="str">
        <f>IF(OR(WBS!$F55="",WBS!$T55=""),"",IF(AND(1&gt;=WBS!$F55,1&lt;=WBS!$T55),IF(WBS!$L55="Done",3,IF(WBS!$L55="Doing",2,IF(WBS!$L55="Blocked",4,IF(WBS!$L55="Deferred",5,1)))),""))</f>
        <v/>
      </c>
      <c r="G55" s="58" t="str">
        <f>IF(OR(WBS!$F55="",WBS!$T55=""),"",IF(AND(2&gt;=WBS!$F55,2&lt;=WBS!$T55),IF(WBS!$L55="Done",3,IF(WBS!$L55="Doing",2,IF(WBS!$L55="Blocked",4,IF(WBS!$L55="Deferred",5,1)))),""))</f>
        <v/>
      </c>
      <c r="H55" s="58" t="str">
        <f>IF(OR(WBS!$F55="",WBS!$T55=""),"",IF(AND(3&gt;=WBS!$F55,3&lt;=WBS!$T55),IF(WBS!$L55="Done",3,IF(WBS!$L55="Doing",2,IF(WBS!$L55="Blocked",4,IF(WBS!$L55="Deferred",5,1)))),""))</f>
        <v/>
      </c>
      <c r="I55" s="58" t="str">
        <f>IF(OR(WBS!$F55="",WBS!$T55=""),"",IF(AND(4&gt;=WBS!$F55,4&lt;=WBS!$T55),IF(WBS!$L55="Done",3,IF(WBS!$L55="Doing",2,IF(WBS!$L55="Blocked",4,IF(WBS!$L55="Deferred",5,1)))),""))</f>
        <v/>
      </c>
      <c r="J55" s="58" t="str">
        <f>IF(OR(WBS!$F55="",WBS!$T55=""),"",IF(AND(5&gt;=WBS!$F55,5&lt;=WBS!$T55),IF(WBS!$L55="Done",3,IF(WBS!$L55="Doing",2,IF(WBS!$L55="Blocked",4,IF(WBS!$L55="Deferred",5,1)))),""))</f>
        <v/>
      </c>
      <c r="K55" s="58" t="str">
        <f>IF(OR(WBS!$F55="",WBS!$T55=""),"",IF(AND(6&gt;=WBS!$F55,6&lt;=WBS!$T55),IF(WBS!$L55="Done",3,IF(WBS!$L55="Doing",2,IF(WBS!$L55="Blocked",4,IF(WBS!$L55="Deferred",5,1)))),""))</f>
        <v/>
      </c>
      <c r="L55" s="58">
        <f>IF(OR(WBS!$F55="",WBS!$T55=""),"",IF(AND(7&gt;=WBS!$F55,7&lt;=WBS!$T55),IF(WBS!$L55="Done",3,IF(WBS!$L55="Doing",2,IF(WBS!$L55="Blocked",4,IF(WBS!$L55="Deferred",5,1)))),""))</f>
        <v>1</v>
      </c>
      <c r="M55" s="58" t="str">
        <f>IF(OR(WBS!$F55="",WBS!$T55=""),"",IF(AND(8&gt;=WBS!$F55,8&lt;=WBS!$T55),IF(WBS!$L55="Done",3,IF(WBS!$L55="Doing",2,IF(WBS!$L55="Blocked",4,IF(WBS!$L55="Deferred",5,1)))),""))</f>
        <v/>
      </c>
      <c r="N55" s="58" t="str">
        <f>IF(OR(WBS!$F55="",WBS!$T55=""),"",IF(AND(9&gt;=WBS!$F55,9&lt;=WBS!$T55),IF(WBS!$L55="Done",3,IF(WBS!$L55="Doing",2,IF(WBS!$L55="Blocked",4,IF(WBS!$L55="Deferred",5,1)))),""))</f>
        <v/>
      </c>
      <c r="O55" s="58" t="str">
        <f>IF(OR(WBS!$F55="",WBS!$T55=""),"",IF(AND(10&gt;=WBS!$F55,10&lt;=WBS!$T55),IF(WBS!$L55="Done",3,IF(WBS!$L55="Doing",2,IF(WBS!$L55="Blocked",4,IF(WBS!$L55="Deferred",5,1)))),""))</f>
        <v/>
      </c>
      <c r="P55" s="58" t="str">
        <f>IF(OR(WBS!$F55="",WBS!$T55=""),"",IF(AND(11&gt;=WBS!$F55,11&lt;=WBS!$T55),IF(WBS!$L55="Done",3,IF(WBS!$L55="Doing",2,IF(WBS!$L55="Blocked",4,IF(WBS!$L55="Deferred",5,1)))),""))</f>
        <v/>
      </c>
      <c r="Q55" s="58" t="str">
        <f>IF(OR(WBS!$F55="",WBS!$T55=""),"",IF(AND(12&gt;=WBS!$F55,12&lt;=WBS!$T55),IF(WBS!$L55="Done",3,IF(WBS!$L55="Doing",2,IF(WBS!$L55="Blocked",4,IF(WBS!$L55="Deferred",5,1)))),""))</f>
        <v/>
      </c>
      <c r="R55" s="58" t="str">
        <f>IF(OR(WBS!$F55="",WBS!$T55=""),"",IF(AND(13&gt;=WBS!$F55,13&lt;=WBS!$T55),IF(WBS!$L55="Done",3,IF(WBS!$L55="Doing",2,IF(WBS!$L55="Blocked",4,IF(WBS!$L55="Deferred",5,1)))),""))</f>
        <v/>
      </c>
      <c r="S55" s="58" t="str">
        <f>IF(OR(WBS!$F55="",WBS!$T55=""),"",IF(AND(14&gt;=WBS!$F55,14&lt;=WBS!$T55),IF(WBS!$L55="Done",3,IF(WBS!$L55="Doing",2,IF(WBS!$L55="Blocked",4,IF(WBS!$L55="Deferred",5,1)))),""))</f>
        <v/>
      </c>
      <c r="T55" s="58" t="str">
        <f>IF(OR(WBS!$F55="",WBS!$T55=""),"",IF(AND(15&gt;=WBS!$F55,15&lt;=WBS!$T55),IF(WBS!$L55="Done",3,IF(WBS!$L55="Doing",2,IF(WBS!$L55="Blocked",4,IF(WBS!$L55="Deferred",5,1)))),""))</f>
        <v/>
      </c>
      <c r="U55" s="58" t="str">
        <f>IF(OR(WBS!$F55="",WBS!$T55=""),"",IF(AND(16&gt;=WBS!$F55,16&lt;=WBS!$T55),IF(WBS!$L55="Done",3,IF(WBS!$L55="Doing",2,IF(WBS!$L55="Blocked",4,IF(WBS!$L55="Deferred",5,1)))),""))</f>
        <v/>
      </c>
      <c r="V55" s="58" t="str">
        <f>IF(OR(WBS!$F55="",WBS!$T55=""),"",IF(AND(17&gt;=WBS!$F55,17&lt;=WBS!$T55),IF(WBS!$L55="Done",3,IF(WBS!$L55="Doing",2,IF(WBS!$L55="Blocked",4,IF(WBS!$L55="Deferred",5,1)))),""))</f>
        <v/>
      </c>
      <c r="W55" s="58" t="str">
        <f>IF(OR(WBS!$F55="",WBS!$T55=""),"",IF(AND(18&gt;=WBS!$F55,18&lt;=WBS!$T55),IF(WBS!$L55="Done",3,IF(WBS!$L55="Doing",2,IF(WBS!$L55="Blocked",4,IF(WBS!$L55="Deferred",5,1)))),""))</f>
        <v/>
      </c>
      <c r="X55" s="58" t="str">
        <f>IF(OR(WBS!$F55="",WBS!$T55=""),"",IF(AND(19&gt;=WBS!$F55,19&lt;=WBS!$T55),IF(WBS!$L55="Done",3,IF(WBS!$L55="Doing",2,IF(WBS!$L55="Blocked",4,IF(WBS!$L55="Deferred",5,1)))),""))</f>
        <v/>
      </c>
      <c r="Y55" s="58" t="str">
        <f>IF(OR(WBS!$F55="",WBS!$T55=""),"",IF(AND(20&gt;=WBS!$F55,20&lt;=WBS!$T55),IF(WBS!$L55="Done",3,IF(WBS!$L55="Doing",2,IF(WBS!$L55="Blocked",4,IF(WBS!$L55="Deferred",5,1)))),""))</f>
        <v/>
      </c>
      <c r="Z55" s="58" t="str">
        <f>IF(OR(WBS!$F55="",WBS!$T55=""),"",IF(AND(21&gt;=WBS!$F55,21&lt;=WBS!$T55),IF(WBS!$L55="Done",3,IF(WBS!$L55="Doing",2,IF(WBS!$L55="Blocked",4,IF(WBS!$L55="Deferred",5,1)))),""))</f>
        <v/>
      </c>
    </row>
    <row r="56" spans="1:26" x14ac:dyDescent="0.3">
      <c r="A56" s="53" t="str">
        <f>WBS!$A56</f>
        <v>4</v>
      </c>
      <c r="B56" s="54" t="str">
        <f>WBS!$C56</f>
        <v>Live Core</v>
      </c>
      <c r="C56" s="55" t="str">
        <f>IF(WBS!$E56="","",WBS!$E56)</f>
        <v/>
      </c>
      <c r="D56" s="56">
        <f>WBS!$J56</f>
        <v>16</v>
      </c>
      <c r="E56" s="57">
        <f>WBS!$M56</f>
        <v>0</v>
      </c>
      <c r="F56" s="58" t="str">
        <f>IF(OR(WBS!$F56="",WBS!$T56=""),"",IF(AND(1&gt;=WBS!$F56,1&lt;=WBS!$T56),IF(WBS!$L56="Done",3,IF(WBS!$L56="Doing",2,IF(WBS!$L56="Blocked",4,IF(WBS!$L56="Deferred",5,1)))),""))</f>
        <v/>
      </c>
      <c r="G56" s="58" t="str">
        <f>IF(OR(WBS!$F56="",WBS!$T56=""),"",IF(AND(2&gt;=WBS!$F56,2&lt;=WBS!$T56),IF(WBS!$L56="Done",3,IF(WBS!$L56="Doing",2,IF(WBS!$L56="Blocked",4,IF(WBS!$L56="Deferred",5,1)))),""))</f>
        <v/>
      </c>
      <c r="H56" s="58" t="str">
        <f>IF(OR(WBS!$F56="",WBS!$T56=""),"",IF(AND(3&gt;=WBS!$F56,3&lt;=WBS!$T56),IF(WBS!$L56="Done",3,IF(WBS!$L56="Doing",2,IF(WBS!$L56="Blocked",4,IF(WBS!$L56="Deferred",5,1)))),""))</f>
        <v/>
      </c>
      <c r="I56" s="58" t="str">
        <f>IF(OR(WBS!$F56="",WBS!$T56=""),"",IF(AND(4&gt;=WBS!$F56,4&lt;=WBS!$T56),IF(WBS!$L56="Done",3,IF(WBS!$L56="Doing",2,IF(WBS!$L56="Blocked",4,IF(WBS!$L56="Deferred",5,1)))),""))</f>
        <v/>
      </c>
      <c r="J56" s="58" t="str">
        <f>IF(OR(WBS!$F56="",WBS!$T56=""),"",IF(AND(5&gt;=WBS!$F56,5&lt;=WBS!$T56),IF(WBS!$L56="Done",3,IF(WBS!$L56="Doing",2,IF(WBS!$L56="Blocked",4,IF(WBS!$L56="Deferred",5,1)))),""))</f>
        <v/>
      </c>
      <c r="K56" s="58" t="str">
        <f>IF(OR(WBS!$F56="",WBS!$T56=""),"",IF(AND(6&gt;=WBS!$F56,6&lt;=WBS!$T56),IF(WBS!$L56="Done",3,IF(WBS!$L56="Doing",2,IF(WBS!$L56="Blocked",4,IF(WBS!$L56="Deferred",5,1)))),""))</f>
        <v/>
      </c>
      <c r="L56" s="58" t="str">
        <f>IF(OR(WBS!$F56="",WBS!$T56=""),"",IF(AND(7&gt;=WBS!$F56,7&lt;=WBS!$T56),IF(WBS!$L56="Done",3,IF(WBS!$L56="Doing",2,IF(WBS!$L56="Blocked",4,IF(WBS!$L56="Deferred",5,1)))),""))</f>
        <v/>
      </c>
      <c r="M56" s="58">
        <f>IF(OR(WBS!$F56="",WBS!$T56=""),"",IF(AND(8&gt;=WBS!$F56,8&lt;=WBS!$T56),IF(WBS!$L56="Done",3,IF(WBS!$L56="Doing",2,IF(WBS!$L56="Blocked",4,IF(WBS!$L56="Deferred",5,1)))),""))</f>
        <v>1</v>
      </c>
      <c r="N56" s="58">
        <f>IF(OR(WBS!$F56="",WBS!$T56=""),"",IF(AND(9&gt;=WBS!$F56,9&lt;=WBS!$T56),IF(WBS!$L56="Done",3,IF(WBS!$L56="Doing",2,IF(WBS!$L56="Blocked",4,IF(WBS!$L56="Deferred",5,1)))),""))</f>
        <v>1</v>
      </c>
      <c r="O56" s="58" t="str">
        <f>IF(OR(WBS!$F56="",WBS!$T56=""),"",IF(AND(10&gt;=WBS!$F56,10&lt;=WBS!$T56),IF(WBS!$L56="Done",3,IF(WBS!$L56="Doing",2,IF(WBS!$L56="Blocked",4,IF(WBS!$L56="Deferred",5,1)))),""))</f>
        <v/>
      </c>
      <c r="P56" s="58" t="str">
        <f>IF(OR(WBS!$F56="",WBS!$T56=""),"",IF(AND(11&gt;=WBS!$F56,11&lt;=WBS!$T56),IF(WBS!$L56="Done",3,IF(WBS!$L56="Doing",2,IF(WBS!$L56="Blocked",4,IF(WBS!$L56="Deferred",5,1)))),""))</f>
        <v/>
      </c>
      <c r="Q56" s="58" t="str">
        <f>IF(OR(WBS!$F56="",WBS!$T56=""),"",IF(AND(12&gt;=WBS!$F56,12&lt;=WBS!$T56),IF(WBS!$L56="Done",3,IF(WBS!$L56="Doing",2,IF(WBS!$L56="Blocked",4,IF(WBS!$L56="Deferred",5,1)))),""))</f>
        <v/>
      </c>
      <c r="R56" s="58" t="str">
        <f>IF(OR(WBS!$F56="",WBS!$T56=""),"",IF(AND(13&gt;=WBS!$F56,13&lt;=WBS!$T56),IF(WBS!$L56="Done",3,IF(WBS!$L56="Doing",2,IF(WBS!$L56="Blocked",4,IF(WBS!$L56="Deferred",5,1)))),""))</f>
        <v/>
      </c>
      <c r="S56" s="58" t="str">
        <f>IF(OR(WBS!$F56="",WBS!$T56=""),"",IF(AND(14&gt;=WBS!$F56,14&lt;=WBS!$T56),IF(WBS!$L56="Done",3,IF(WBS!$L56="Doing",2,IF(WBS!$L56="Blocked",4,IF(WBS!$L56="Deferred",5,1)))),""))</f>
        <v/>
      </c>
      <c r="T56" s="58" t="str">
        <f>IF(OR(WBS!$F56="",WBS!$T56=""),"",IF(AND(15&gt;=WBS!$F56,15&lt;=WBS!$T56),IF(WBS!$L56="Done",3,IF(WBS!$L56="Doing",2,IF(WBS!$L56="Blocked",4,IF(WBS!$L56="Deferred",5,1)))),""))</f>
        <v/>
      </c>
      <c r="U56" s="58" t="str">
        <f>IF(OR(WBS!$F56="",WBS!$T56=""),"",IF(AND(16&gt;=WBS!$F56,16&lt;=WBS!$T56),IF(WBS!$L56="Done",3,IF(WBS!$L56="Doing",2,IF(WBS!$L56="Blocked",4,IF(WBS!$L56="Deferred",5,1)))),""))</f>
        <v/>
      </c>
      <c r="V56" s="58" t="str">
        <f>IF(OR(WBS!$F56="",WBS!$T56=""),"",IF(AND(17&gt;=WBS!$F56,17&lt;=WBS!$T56),IF(WBS!$L56="Done",3,IF(WBS!$L56="Doing",2,IF(WBS!$L56="Blocked",4,IF(WBS!$L56="Deferred",5,1)))),""))</f>
        <v/>
      </c>
      <c r="W56" s="58" t="str">
        <f>IF(OR(WBS!$F56="",WBS!$T56=""),"",IF(AND(18&gt;=WBS!$F56,18&lt;=WBS!$T56),IF(WBS!$L56="Done",3,IF(WBS!$L56="Doing",2,IF(WBS!$L56="Blocked",4,IF(WBS!$L56="Deferred",5,1)))),""))</f>
        <v/>
      </c>
      <c r="X56" s="58" t="str">
        <f>IF(OR(WBS!$F56="",WBS!$T56=""),"",IF(AND(19&gt;=WBS!$F56,19&lt;=WBS!$T56),IF(WBS!$L56="Done",3,IF(WBS!$L56="Doing",2,IF(WBS!$L56="Blocked",4,IF(WBS!$L56="Deferred",5,1)))),""))</f>
        <v/>
      </c>
      <c r="Y56" s="58" t="str">
        <f>IF(OR(WBS!$F56="",WBS!$T56=""),"",IF(AND(20&gt;=WBS!$F56,20&lt;=WBS!$T56),IF(WBS!$L56="Done",3,IF(WBS!$L56="Doing",2,IF(WBS!$L56="Blocked",4,IF(WBS!$L56="Deferred",5,1)))),""))</f>
        <v/>
      </c>
      <c r="Z56" s="58" t="str">
        <f>IF(OR(WBS!$F56="",WBS!$T56=""),"",IF(AND(21&gt;=WBS!$F56,21&lt;=WBS!$T56),IF(WBS!$L56="Done",3,IF(WBS!$L56="Doing",2,IF(WBS!$L56="Blocked",4,IF(WBS!$L56="Deferred",5,1)))),""))</f>
        <v/>
      </c>
    </row>
    <row r="57" spans="1:26" x14ac:dyDescent="0.3">
      <c r="A57" s="59" t="str">
        <f>WBS!$A57</f>
        <v>4.1</v>
      </c>
      <c r="B57" s="60" t="str">
        <f>WBS!$C57</f>
        <v xml:space="preserve">    Journey and telemetry</v>
      </c>
      <c r="C57" s="61" t="str">
        <f>IF(WBS!$E57="","",WBS!$E57)</f>
        <v/>
      </c>
      <c r="D57" s="62">
        <f>WBS!$J57</f>
        <v>4</v>
      </c>
      <c r="E57" s="63">
        <f>WBS!$M57</f>
        <v>0</v>
      </c>
      <c r="F57" s="58" t="str">
        <f>IF(OR(WBS!$F57="",WBS!$T57=""),"",IF(AND(1&gt;=WBS!$F57,1&lt;=WBS!$T57),IF(WBS!$L57="Done",3,IF(WBS!$L57="Doing",2,IF(WBS!$L57="Blocked",4,IF(WBS!$L57="Deferred",5,1)))),""))</f>
        <v/>
      </c>
      <c r="G57" s="58" t="str">
        <f>IF(OR(WBS!$F57="",WBS!$T57=""),"",IF(AND(2&gt;=WBS!$F57,2&lt;=WBS!$T57),IF(WBS!$L57="Done",3,IF(WBS!$L57="Doing",2,IF(WBS!$L57="Blocked",4,IF(WBS!$L57="Deferred",5,1)))),""))</f>
        <v/>
      </c>
      <c r="H57" s="58" t="str">
        <f>IF(OR(WBS!$F57="",WBS!$T57=""),"",IF(AND(3&gt;=WBS!$F57,3&lt;=WBS!$T57),IF(WBS!$L57="Done",3,IF(WBS!$L57="Doing",2,IF(WBS!$L57="Blocked",4,IF(WBS!$L57="Deferred",5,1)))),""))</f>
        <v/>
      </c>
      <c r="I57" s="58" t="str">
        <f>IF(OR(WBS!$F57="",WBS!$T57=""),"",IF(AND(4&gt;=WBS!$F57,4&lt;=WBS!$T57),IF(WBS!$L57="Done",3,IF(WBS!$L57="Doing",2,IF(WBS!$L57="Blocked",4,IF(WBS!$L57="Deferred",5,1)))),""))</f>
        <v/>
      </c>
      <c r="J57" s="58" t="str">
        <f>IF(OR(WBS!$F57="",WBS!$T57=""),"",IF(AND(5&gt;=WBS!$F57,5&lt;=WBS!$T57),IF(WBS!$L57="Done",3,IF(WBS!$L57="Doing",2,IF(WBS!$L57="Blocked",4,IF(WBS!$L57="Deferred",5,1)))),""))</f>
        <v/>
      </c>
      <c r="K57" s="58" t="str">
        <f>IF(OR(WBS!$F57="",WBS!$T57=""),"",IF(AND(6&gt;=WBS!$F57,6&lt;=WBS!$T57),IF(WBS!$L57="Done",3,IF(WBS!$L57="Doing",2,IF(WBS!$L57="Blocked",4,IF(WBS!$L57="Deferred",5,1)))),""))</f>
        <v/>
      </c>
      <c r="L57" s="58" t="str">
        <f>IF(OR(WBS!$F57="",WBS!$T57=""),"",IF(AND(7&gt;=WBS!$F57,7&lt;=WBS!$T57),IF(WBS!$L57="Done",3,IF(WBS!$L57="Doing",2,IF(WBS!$L57="Blocked",4,IF(WBS!$L57="Deferred",5,1)))),""))</f>
        <v/>
      </c>
      <c r="M57" s="58">
        <f>IF(OR(WBS!$F57="",WBS!$T57=""),"",IF(AND(8&gt;=WBS!$F57,8&lt;=WBS!$T57),IF(WBS!$L57="Done",3,IF(WBS!$L57="Doing",2,IF(WBS!$L57="Blocked",4,IF(WBS!$L57="Deferred",5,1)))),""))</f>
        <v>1</v>
      </c>
      <c r="N57" s="58" t="str">
        <f>IF(OR(WBS!$F57="",WBS!$T57=""),"",IF(AND(9&gt;=WBS!$F57,9&lt;=WBS!$T57),IF(WBS!$L57="Done",3,IF(WBS!$L57="Doing",2,IF(WBS!$L57="Blocked",4,IF(WBS!$L57="Deferred",5,1)))),""))</f>
        <v/>
      </c>
      <c r="O57" s="58" t="str">
        <f>IF(OR(WBS!$F57="",WBS!$T57=""),"",IF(AND(10&gt;=WBS!$F57,10&lt;=WBS!$T57),IF(WBS!$L57="Done",3,IF(WBS!$L57="Doing",2,IF(WBS!$L57="Blocked",4,IF(WBS!$L57="Deferred",5,1)))),""))</f>
        <v/>
      </c>
      <c r="P57" s="58" t="str">
        <f>IF(OR(WBS!$F57="",WBS!$T57=""),"",IF(AND(11&gt;=WBS!$F57,11&lt;=WBS!$T57),IF(WBS!$L57="Done",3,IF(WBS!$L57="Doing",2,IF(WBS!$L57="Blocked",4,IF(WBS!$L57="Deferred",5,1)))),""))</f>
        <v/>
      </c>
      <c r="Q57" s="58" t="str">
        <f>IF(OR(WBS!$F57="",WBS!$T57=""),"",IF(AND(12&gt;=WBS!$F57,12&lt;=WBS!$T57),IF(WBS!$L57="Done",3,IF(WBS!$L57="Doing",2,IF(WBS!$L57="Blocked",4,IF(WBS!$L57="Deferred",5,1)))),""))</f>
        <v/>
      </c>
      <c r="R57" s="58" t="str">
        <f>IF(OR(WBS!$F57="",WBS!$T57=""),"",IF(AND(13&gt;=WBS!$F57,13&lt;=WBS!$T57),IF(WBS!$L57="Done",3,IF(WBS!$L57="Doing",2,IF(WBS!$L57="Blocked",4,IF(WBS!$L57="Deferred",5,1)))),""))</f>
        <v/>
      </c>
      <c r="S57" s="58" t="str">
        <f>IF(OR(WBS!$F57="",WBS!$T57=""),"",IF(AND(14&gt;=WBS!$F57,14&lt;=WBS!$T57),IF(WBS!$L57="Done",3,IF(WBS!$L57="Doing",2,IF(WBS!$L57="Blocked",4,IF(WBS!$L57="Deferred",5,1)))),""))</f>
        <v/>
      </c>
      <c r="T57" s="58" t="str">
        <f>IF(OR(WBS!$F57="",WBS!$T57=""),"",IF(AND(15&gt;=WBS!$F57,15&lt;=WBS!$T57),IF(WBS!$L57="Done",3,IF(WBS!$L57="Doing",2,IF(WBS!$L57="Blocked",4,IF(WBS!$L57="Deferred",5,1)))),""))</f>
        <v/>
      </c>
      <c r="U57" s="58" t="str">
        <f>IF(OR(WBS!$F57="",WBS!$T57=""),"",IF(AND(16&gt;=WBS!$F57,16&lt;=WBS!$T57),IF(WBS!$L57="Done",3,IF(WBS!$L57="Doing",2,IF(WBS!$L57="Blocked",4,IF(WBS!$L57="Deferred",5,1)))),""))</f>
        <v/>
      </c>
      <c r="V57" s="58" t="str">
        <f>IF(OR(WBS!$F57="",WBS!$T57=""),"",IF(AND(17&gt;=WBS!$F57,17&lt;=WBS!$T57),IF(WBS!$L57="Done",3,IF(WBS!$L57="Doing",2,IF(WBS!$L57="Blocked",4,IF(WBS!$L57="Deferred",5,1)))),""))</f>
        <v/>
      </c>
      <c r="W57" s="58" t="str">
        <f>IF(OR(WBS!$F57="",WBS!$T57=""),"",IF(AND(18&gt;=WBS!$F57,18&lt;=WBS!$T57),IF(WBS!$L57="Done",3,IF(WBS!$L57="Doing",2,IF(WBS!$L57="Blocked",4,IF(WBS!$L57="Deferred",5,1)))),""))</f>
        <v/>
      </c>
      <c r="X57" s="58" t="str">
        <f>IF(OR(WBS!$F57="",WBS!$T57=""),"",IF(AND(19&gt;=WBS!$F57,19&lt;=WBS!$T57),IF(WBS!$L57="Done",3,IF(WBS!$L57="Doing",2,IF(WBS!$L57="Blocked",4,IF(WBS!$L57="Deferred",5,1)))),""))</f>
        <v/>
      </c>
      <c r="Y57" s="58" t="str">
        <f>IF(OR(WBS!$F57="",WBS!$T57=""),"",IF(AND(20&gt;=WBS!$F57,20&lt;=WBS!$T57),IF(WBS!$L57="Done",3,IF(WBS!$L57="Doing",2,IF(WBS!$L57="Blocked",4,IF(WBS!$L57="Deferred",5,1)))),""))</f>
        <v/>
      </c>
      <c r="Z57" s="58" t="str">
        <f>IF(OR(WBS!$F57="",WBS!$T57=""),"",IF(AND(21&gt;=WBS!$F57,21&lt;=WBS!$T57),IF(WBS!$L57="Done",3,IF(WBS!$L57="Doing",2,IF(WBS!$L57="Blocked",4,IF(WBS!$L57="Deferred",5,1)))),""))</f>
        <v/>
      </c>
    </row>
    <row r="58" spans="1:26" x14ac:dyDescent="0.3">
      <c r="A58" s="64" t="str">
        <f>WBS!$A58</f>
        <v>4.1.1</v>
      </c>
      <c r="B58" s="65" t="str">
        <f>WBS!$C58</f>
        <v xml:space="preserve">        Journey generation from timetable with service-date handling</v>
      </c>
      <c r="C58" s="66" t="str">
        <f>IF(WBS!$E58="","",WBS!$E58)</f>
        <v>BE</v>
      </c>
      <c r="D58" s="67">
        <f>WBS!$J58</f>
        <v>2</v>
      </c>
      <c r="E58" s="68">
        <f>WBS!$M58</f>
        <v>0</v>
      </c>
      <c r="F58" s="58" t="str">
        <f>IF(OR(WBS!$F58="",WBS!$T58=""),"",IF(AND(1&gt;=WBS!$F58,1&lt;=WBS!$T58),IF(WBS!$L58="Done",3,IF(WBS!$L58="Doing",2,IF(WBS!$L58="Blocked",4,IF(WBS!$L58="Deferred",5,1)))),""))</f>
        <v/>
      </c>
      <c r="G58" s="58" t="str">
        <f>IF(OR(WBS!$F58="",WBS!$T58=""),"",IF(AND(2&gt;=WBS!$F58,2&lt;=WBS!$T58),IF(WBS!$L58="Done",3,IF(WBS!$L58="Doing",2,IF(WBS!$L58="Blocked",4,IF(WBS!$L58="Deferred",5,1)))),""))</f>
        <v/>
      </c>
      <c r="H58" s="58" t="str">
        <f>IF(OR(WBS!$F58="",WBS!$T58=""),"",IF(AND(3&gt;=WBS!$F58,3&lt;=WBS!$T58),IF(WBS!$L58="Done",3,IF(WBS!$L58="Doing",2,IF(WBS!$L58="Blocked",4,IF(WBS!$L58="Deferred",5,1)))),""))</f>
        <v/>
      </c>
      <c r="I58" s="58" t="str">
        <f>IF(OR(WBS!$F58="",WBS!$T58=""),"",IF(AND(4&gt;=WBS!$F58,4&lt;=WBS!$T58),IF(WBS!$L58="Done",3,IF(WBS!$L58="Doing",2,IF(WBS!$L58="Blocked",4,IF(WBS!$L58="Deferred",5,1)))),""))</f>
        <v/>
      </c>
      <c r="J58" s="58" t="str">
        <f>IF(OR(WBS!$F58="",WBS!$T58=""),"",IF(AND(5&gt;=WBS!$F58,5&lt;=WBS!$T58),IF(WBS!$L58="Done",3,IF(WBS!$L58="Doing",2,IF(WBS!$L58="Blocked",4,IF(WBS!$L58="Deferred",5,1)))),""))</f>
        <v/>
      </c>
      <c r="K58" s="58" t="str">
        <f>IF(OR(WBS!$F58="",WBS!$T58=""),"",IF(AND(6&gt;=WBS!$F58,6&lt;=WBS!$T58),IF(WBS!$L58="Done",3,IF(WBS!$L58="Doing",2,IF(WBS!$L58="Blocked",4,IF(WBS!$L58="Deferred",5,1)))),""))</f>
        <v/>
      </c>
      <c r="L58" s="58" t="str">
        <f>IF(OR(WBS!$F58="",WBS!$T58=""),"",IF(AND(7&gt;=WBS!$F58,7&lt;=WBS!$T58),IF(WBS!$L58="Done",3,IF(WBS!$L58="Doing",2,IF(WBS!$L58="Blocked",4,IF(WBS!$L58="Deferred",5,1)))),""))</f>
        <v/>
      </c>
      <c r="M58" s="58">
        <f>IF(OR(WBS!$F58="",WBS!$T58=""),"",IF(AND(8&gt;=WBS!$F58,8&lt;=WBS!$T58),IF(WBS!$L58="Done",3,IF(WBS!$L58="Doing",2,IF(WBS!$L58="Blocked",4,IF(WBS!$L58="Deferred",5,1)))),""))</f>
        <v>1</v>
      </c>
      <c r="N58" s="58" t="str">
        <f>IF(OR(WBS!$F58="",WBS!$T58=""),"",IF(AND(9&gt;=WBS!$F58,9&lt;=WBS!$T58),IF(WBS!$L58="Done",3,IF(WBS!$L58="Doing",2,IF(WBS!$L58="Blocked",4,IF(WBS!$L58="Deferred",5,1)))),""))</f>
        <v/>
      </c>
      <c r="O58" s="58" t="str">
        <f>IF(OR(WBS!$F58="",WBS!$T58=""),"",IF(AND(10&gt;=WBS!$F58,10&lt;=WBS!$T58),IF(WBS!$L58="Done",3,IF(WBS!$L58="Doing",2,IF(WBS!$L58="Blocked",4,IF(WBS!$L58="Deferred",5,1)))),""))</f>
        <v/>
      </c>
      <c r="P58" s="58" t="str">
        <f>IF(OR(WBS!$F58="",WBS!$T58=""),"",IF(AND(11&gt;=WBS!$F58,11&lt;=WBS!$T58),IF(WBS!$L58="Done",3,IF(WBS!$L58="Doing",2,IF(WBS!$L58="Blocked",4,IF(WBS!$L58="Deferred",5,1)))),""))</f>
        <v/>
      </c>
      <c r="Q58" s="58" t="str">
        <f>IF(OR(WBS!$F58="",WBS!$T58=""),"",IF(AND(12&gt;=WBS!$F58,12&lt;=WBS!$T58),IF(WBS!$L58="Done",3,IF(WBS!$L58="Doing",2,IF(WBS!$L58="Blocked",4,IF(WBS!$L58="Deferred",5,1)))),""))</f>
        <v/>
      </c>
      <c r="R58" s="58" t="str">
        <f>IF(OR(WBS!$F58="",WBS!$T58=""),"",IF(AND(13&gt;=WBS!$F58,13&lt;=WBS!$T58),IF(WBS!$L58="Done",3,IF(WBS!$L58="Doing",2,IF(WBS!$L58="Blocked",4,IF(WBS!$L58="Deferred",5,1)))),""))</f>
        <v/>
      </c>
      <c r="S58" s="58" t="str">
        <f>IF(OR(WBS!$F58="",WBS!$T58=""),"",IF(AND(14&gt;=WBS!$F58,14&lt;=WBS!$T58),IF(WBS!$L58="Done",3,IF(WBS!$L58="Doing",2,IF(WBS!$L58="Blocked",4,IF(WBS!$L58="Deferred",5,1)))),""))</f>
        <v/>
      </c>
      <c r="T58" s="58" t="str">
        <f>IF(OR(WBS!$F58="",WBS!$T58=""),"",IF(AND(15&gt;=WBS!$F58,15&lt;=WBS!$T58),IF(WBS!$L58="Done",3,IF(WBS!$L58="Doing",2,IF(WBS!$L58="Blocked",4,IF(WBS!$L58="Deferred",5,1)))),""))</f>
        <v/>
      </c>
      <c r="U58" s="58" t="str">
        <f>IF(OR(WBS!$F58="",WBS!$T58=""),"",IF(AND(16&gt;=WBS!$F58,16&lt;=WBS!$T58),IF(WBS!$L58="Done",3,IF(WBS!$L58="Doing",2,IF(WBS!$L58="Blocked",4,IF(WBS!$L58="Deferred",5,1)))),""))</f>
        <v/>
      </c>
      <c r="V58" s="58" t="str">
        <f>IF(OR(WBS!$F58="",WBS!$T58=""),"",IF(AND(17&gt;=WBS!$F58,17&lt;=WBS!$T58),IF(WBS!$L58="Done",3,IF(WBS!$L58="Doing",2,IF(WBS!$L58="Blocked",4,IF(WBS!$L58="Deferred",5,1)))),""))</f>
        <v/>
      </c>
      <c r="W58" s="58" t="str">
        <f>IF(OR(WBS!$F58="",WBS!$T58=""),"",IF(AND(18&gt;=WBS!$F58,18&lt;=WBS!$T58),IF(WBS!$L58="Done",3,IF(WBS!$L58="Doing",2,IF(WBS!$L58="Blocked",4,IF(WBS!$L58="Deferred",5,1)))),""))</f>
        <v/>
      </c>
      <c r="X58" s="58" t="str">
        <f>IF(OR(WBS!$F58="",WBS!$T58=""),"",IF(AND(19&gt;=WBS!$F58,19&lt;=WBS!$T58),IF(WBS!$L58="Done",3,IF(WBS!$L58="Doing",2,IF(WBS!$L58="Blocked",4,IF(WBS!$L58="Deferred",5,1)))),""))</f>
        <v/>
      </c>
      <c r="Y58" s="58" t="str">
        <f>IF(OR(WBS!$F58="",WBS!$T58=""),"",IF(AND(20&gt;=WBS!$F58,20&lt;=WBS!$T58),IF(WBS!$L58="Done",3,IF(WBS!$L58="Doing",2,IF(WBS!$L58="Blocked",4,IF(WBS!$L58="Deferred",5,1)))),""))</f>
        <v/>
      </c>
      <c r="Z58" s="58" t="str">
        <f>IF(OR(WBS!$F58="",WBS!$T58=""),"",IF(AND(21&gt;=WBS!$F58,21&lt;=WBS!$T58),IF(WBS!$L58="Done",3,IF(WBS!$L58="Doing",2,IF(WBS!$L58="Blocked",4,IF(WBS!$L58="Deferred",5,1)))),""))</f>
        <v/>
      </c>
    </row>
    <row r="59" spans="1:26" ht="26.4" x14ac:dyDescent="0.3">
      <c r="A59" s="64" t="str">
        <f>WBS!$A59</f>
        <v>4.1.2</v>
      </c>
      <c r="B59" s="65" t="str">
        <f>WBS!$C59</f>
        <v xml:space="preserve">        Telemetry ingestion - sequence, idempotency, plausibility rejection</v>
      </c>
      <c r="C59" s="66" t="str">
        <f>IF(WBS!$E59="","",WBS!$E59)</f>
        <v>BE</v>
      </c>
      <c r="D59" s="67">
        <f>WBS!$J59</f>
        <v>2</v>
      </c>
      <c r="E59" s="68">
        <f>WBS!$M59</f>
        <v>0</v>
      </c>
      <c r="F59" s="58" t="str">
        <f>IF(OR(WBS!$F59="",WBS!$T59=""),"",IF(AND(1&gt;=WBS!$F59,1&lt;=WBS!$T59),IF(WBS!$L59="Done",3,IF(WBS!$L59="Doing",2,IF(WBS!$L59="Blocked",4,IF(WBS!$L59="Deferred",5,1)))),""))</f>
        <v/>
      </c>
      <c r="G59" s="58" t="str">
        <f>IF(OR(WBS!$F59="",WBS!$T59=""),"",IF(AND(2&gt;=WBS!$F59,2&lt;=WBS!$T59),IF(WBS!$L59="Done",3,IF(WBS!$L59="Doing",2,IF(WBS!$L59="Blocked",4,IF(WBS!$L59="Deferred",5,1)))),""))</f>
        <v/>
      </c>
      <c r="H59" s="58" t="str">
        <f>IF(OR(WBS!$F59="",WBS!$T59=""),"",IF(AND(3&gt;=WBS!$F59,3&lt;=WBS!$T59),IF(WBS!$L59="Done",3,IF(WBS!$L59="Doing",2,IF(WBS!$L59="Blocked",4,IF(WBS!$L59="Deferred",5,1)))),""))</f>
        <v/>
      </c>
      <c r="I59" s="58" t="str">
        <f>IF(OR(WBS!$F59="",WBS!$T59=""),"",IF(AND(4&gt;=WBS!$F59,4&lt;=WBS!$T59),IF(WBS!$L59="Done",3,IF(WBS!$L59="Doing",2,IF(WBS!$L59="Blocked",4,IF(WBS!$L59="Deferred",5,1)))),""))</f>
        <v/>
      </c>
      <c r="J59" s="58" t="str">
        <f>IF(OR(WBS!$F59="",WBS!$T59=""),"",IF(AND(5&gt;=WBS!$F59,5&lt;=WBS!$T59),IF(WBS!$L59="Done",3,IF(WBS!$L59="Doing",2,IF(WBS!$L59="Blocked",4,IF(WBS!$L59="Deferred",5,1)))),""))</f>
        <v/>
      </c>
      <c r="K59" s="58" t="str">
        <f>IF(OR(WBS!$F59="",WBS!$T59=""),"",IF(AND(6&gt;=WBS!$F59,6&lt;=WBS!$T59),IF(WBS!$L59="Done",3,IF(WBS!$L59="Doing",2,IF(WBS!$L59="Blocked",4,IF(WBS!$L59="Deferred",5,1)))),""))</f>
        <v/>
      </c>
      <c r="L59" s="58" t="str">
        <f>IF(OR(WBS!$F59="",WBS!$T59=""),"",IF(AND(7&gt;=WBS!$F59,7&lt;=WBS!$T59),IF(WBS!$L59="Done",3,IF(WBS!$L59="Doing",2,IF(WBS!$L59="Blocked",4,IF(WBS!$L59="Deferred",5,1)))),""))</f>
        <v/>
      </c>
      <c r="M59" s="58">
        <f>IF(OR(WBS!$F59="",WBS!$T59=""),"",IF(AND(8&gt;=WBS!$F59,8&lt;=WBS!$T59),IF(WBS!$L59="Done",3,IF(WBS!$L59="Doing",2,IF(WBS!$L59="Blocked",4,IF(WBS!$L59="Deferred",5,1)))),""))</f>
        <v>1</v>
      </c>
      <c r="N59" s="58" t="str">
        <f>IF(OR(WBS!$F59="",WBS!$T59=""),"",IF(AND(9&gt;=WBS!$F59,9&lt;=WBS!$T59),IF(WBS!$L59="Done",3,IF(WBS!$L59="Doing",2,IF(WBS!$L59="Blocked",4,IF(WBS!$L59="Deferred",5,1)))),""))</f>
        <v/>
      </c>
      <c r="O59" s="58" t="str">
        <f>IF(OR(WBS!$F59="",WBS!$T59=""),"",IF(AND(10&gt;=WBS!$F59,10&lt;=WBS!$T59),IF(WBS!$L59="Done",3,IF(WBS!$L59="Doing",2,IF(WBS!$L59="Blocked",4,IF(WBS!$L59="Deferred",5,1)))),""))</f>
        <v/>
      </c>
      <c r="P59" s="58" t="str">
        <f>IF(OR(WBS!$F59="",WBS!$T59=""),"",IF(AND(11&gt;=WBS!$F59,11&lt;=WBS!$T59),IF(WBS!$L59="Done",3,IF(WBS!$L59="Doing",2,IF(WBS!$L59="Blocked",4,IF(WBS!$L59="Deferred",5,1)))),""))</f>
        <v/>
      </c>
      <c r="Q59" s="58" t="str">
        <f>IF(OR(WBS!$F59="",WBS!$T59=""),"",IF(AND(12&gt;=WBS!$F59,12&lt;=WBS!$T59),IF(WBS!$L59="Done",3,IF(WBS!$L59="Doing",2,IF(WBS!$L59="Blocked",4,IF(WBS!$L59="Deferred",5,1)))),""))</f>
        <v/>
      </c>
      <c r="R59" s="58" t="str">
        <f>IF(OR(WBS!$F59="",WBS!$T59=""),"",IF(AND(13&gt;=WBS!$F59,13&lt;=WBS!$T59),IF(WBS!$L59="Done",3,IF(WBS!$L59="Doing",2,IF(WBS!$L59="Blocked",4,IF(WBS!$L59="Deferred",5,1)))),""))</f>
        <v/>
      </c>
      <c r="S59" s="58" t="str">
        <f>IF(OR(WBS!$F59="",WBS!$T59=""),"",IF(AND(14&gt;=WBS!$F59,14&lt;=WBS!$T59),IF(WBS!$L59="Done",3,IF(WBS!$L59="Doing",2,IF(WBS!$L59="Blocked",4,IF(WBS!$L59="Deferred",5,1)))),""))</f>
        <v/>
      </c>
      <c r="T59" s="58" t="str">
        <f>IF(OR(WBS!$F59="",WBS!$T59=""),"",IF(AND(15&gt;=WBS!$F59,15&lt;=WBS!$T59),IF(WBS!$L59="Done",3,IF(WBS!$L59="Doing",2,IF(WBS!$L59="Blocked",4,IF(WBS!$L59="Deferred",5,1)))),""))</f>
        <v/>
      </c>
      <c r="U59" s="58" t="str">
        <f>IF(OR(WBS!$F59="",WBS!$T59=""),"",IF(AND(16&gt;=WBS!$F59,16&lt;=WBS!$T59),IF(WBS!$L59="Done",3,IF(WBS!$L59="Doing",2,IF(WBS!$L59="Blocked",4,IF(WBS!$L59="Deferred",5,1)))),""))</f>
        <v/>
      </c>
      <c r="V59" s="58" t="str">
        <f>IF(OR(WBS!$F59="",WBS!$T59=""),"",IF(AND(17&gt;=WBS!$F59,17&lt;=WBS!$T59),IF(WBS!$L59="Done",3,IF(WBS!$L59="Doing",2,IF(WBS!$L59="Blocked",4,IF(WBS!$L59="Deferred",5,1)))),""))</f>
        <v/>
      </c>
      <c r="W59" s="58" t="str">
        <f>IF(OR(WBS!$F59="",WBS!$T59=""),"",IF(AND(18&gt;=WBS!$F59,18&lt;=WBS!$T59),IF(WBS!$L59="Done",3,IF(WBS!$L59="Doing",2,IF(WBS!$L59="Blocked",4,IF(WBS!$L59="Deferred",5,1)))),""))</f>
        <v/>
      </c>
      <c r="X59" s="58" t="str">
        <f>IF(OR(WBS!$F59="",WBS!$T59=""),"",IF(AND(19&gt;=WBS!$F59,19&lt;=WBS!$T59),IF(WBS!$L59="Done",3,IF(WBS!$L59="Doing",2,IF(WBS!$L59="Blocked",4,IF(WBS!$L59="Deferred",5,1)))),""))</f>
        <v/>
      </c>
      <c r="Y59" s="58" t="str">
        <f>IF(OR(WBS!$F59="",WBS!$T59=""),"",IF(AND(20&gt;=WBS!$F59,20&lt;=WBS!$T59),IF(WBS!$L59="Done",3,IF(WBS!$L59="Doing",2,IF(WBS!$L59="Blocked",4,IF(WBS!$L59="Deferred",5,1)))),""))</f>
        <v/>
      </c>
      <c r="Z59" s="58" t="str">
        <f>IF(OR(WBS!$F59="",WBS!$T59=""),"",IF(AND(21&gt;=WBS!$F59,21&lt;=WBS!$T59),IF(WBS!$L59="Done",3,IF(WBS!$L59="Doing",2,IF(WBS!$L59="Blocked",4,IF(WBS!$L59="Deferred",5,1)))),""))</f>
        <v/>
      </c>
    </row>
    <row r="60" spans="1:26" x14ac:dyDescent="0.3">
      <c r="A60" s="59" t="str">
        <f>WBS!$A60</f>
        <v>4.2</v>
      </c>
      <c r="B60" s="60" t="str">
        <f>WBS!$C60</f>
        <v xml:space="preserve">    ETA engine</v>
      </c>
      <c r="C60" s="61" t="str">
        <f>IF(WBS!$E60="","",WBS!$E60)</f>
        <v/>
      </c>
      <c r="D60" s="62">
        <f>WBS!$J60</f>
        <v>3</v>
      </c>
      <c r="E60" s="63">
        <f>WBS!$M60</f>
        <v>0</v>
      </c>
      <c r="F60" s="58" t="str">
        <f>IF(OR(WBS!$F60="",WBS!$T60=""),"",IF(AND(1&gt;=WBS!$F60,1&lt;=WBS!$T60),IF(WBS!$L60="Done",3,IF(WBS!$L60="Doing",2,IF(WBS!$L60="Blocked",4,IF(WBS!$L60="Deferred",5,1)))),""))</f>
        <v/>
      </c>
      <c r="G60" s="58" t="str">
        <f>IF(OR(WBS!$F60="",WBS!$T60=""),"",IF(AND(2&gt;=WBS!$F60,2&lt;=WBS!$T60),IF(WBS!$L60="Done",3,IF(WBS!$L60="Doing",2,IF(WBS!$L60="Blocked",4,IF(WBS!$L60="Deferred",5,1)))),""))</f>
        <v/>
      </c>
      <c r="H60" s="58" t="str">
        <f>IF(OR(WBS!$F60="",WBS!$T60=""),"",IF(AND(3&gt;=WBS!$F60,3&lt;=WBS!$T60),IF(WBS!$L60="Done",3,IF(WBS!$L60="Doing",2,IF(WBS!$L60="Blocked",4,IF(WBS!$L60="Deferred",5,1)))),""))</f>
        <v/>
      </c>
      <c r="I60" s="58" t="str">
        <f>IF(OR(WBS!$F60="",WBS!$T60=""),"",IF(AND(4&gt;=WBS!$F60,4&lt;=WBS!$T60),IF(WBS!$L60="Done",3,IF(WBS!$L60="Doing",2,IF(WBS!$L60="Blocked",4,IF(WBS!$L60="Deferred",5,1)))),""))</f>
        <v/>
      </c>
      <c r="J60" s="58" t="str">
        <f>IF(OR(WBS!$F60="",WBS!$T60=""),"",IF(AND(5&gt;=WBS!$F60,5&lt;=WBS!$T60),IF(WBS!$L60="Done",3,IF(WBS!$L60="Doing",2,IF(WBS!$L60="Blocked",4,IF(WBS!$L60="Deferred",5,1)))),""))</f>
        <v/>
      </c>
      <c r="K60" s="58" t="str">
        <f>IF(OR(WBS!$F60="",WBS!$T60=""),"",IF(AND(6&gt;=WBS!$F60,6&lt;=WBS!$T60),IF(WBS!$L60="Done",3,IF(WBS!$L60="Doing",2,IF(WBS!$L60="Blocked",4,IF(WBS!$L60="Deferred",5,1)))),""))</f>
        <v/>
      </c>
      <c r="L60" s="58" t="str">
        <f>IF(OR(WBS!$F60="",WBS!$T60=""),"",IF(AND(7&gt;=WBS!$F60,7&lt;=WBS!$T60),IF(WBS!$L60="Done",3,IF(WBS!$L60="Doing",2,IF(WBS!$L60="Blocked",4,IF(WBS!$L60="Deferred",5,1)))),""))</f>
        <v/>
      </c>
      <c r="M60" s="58">
        <f>IF(OR(WBS!$F60="",WBS!$T60=""),"",IF(AND(8&gt;=WBS!$F60,8&lt;=WBS!$T60),IF(WBS!$L60="Done",3,IF(WBS!$L60="Doing",2,IF(WBS!$L60="Blocked",4,IF(WBS!$L60="Deferred",5,1)))),""))</f>
        <v>1</v>
      </c>
      <c r="N60" s="58" t="str">
        <f>IF(OR(WBS!$F60="",WBS!$T60=""),"",IF(AND(9&gt;=WBS!$F60,9&lt;=WBS!$T60),IF(WBS!$L60="Done",3,IF(WBS!$L60="Doing",2,IF(WBS!$L60="Blocked",4,IF(WBS!$L60="Deferred",5,1)))),""))</f>
        <v/>
      </c>
      <c r="O60" s="58" t="str">
        <f>IF(OR(WBS!$F60="",WBS!$T60=""),"",IF(AND(10&gt;=WBS!$F60,10&lt;=WBS!$T60),IF(WBS!$L60="Done",3,IF(WBS!$L60="Doing",2,IF(WBS!$L60="Blocked",4,IF(WBS!$L60="Deferred",5,1)))),""))</f>
        <v/>
      </c>
      <c r="P60" s="58" t="str">
        <f>IF(OR(WBS!$F60="",WBS!$T60=""),"",IF(AND(11&gt;=WBS!$F60,11&lt;=WBS!$T60),IF(WBS!$L60="Done",3,IF(WBS!$L60="Doing",2,IF(WBS!$L60="Blocked",4,IF(WBS!$L60="Deferred",5,1)))),""))</f>
        <v/>
      </c>
      <c r="Q60" s="58" t="str">
        <f>IF(OR(WBS!$F60="",WBS!$T60=""),"",IF(AND(12&gt;=WBS!$F60,12&lt;=WBS!$T60),IF(WBS!$L60="Done",3,IF(WBS!$L60="Doing",2,IF(WBS!$L60="Blocked",4,IF(WBS!$L60="Deferred",5,1)))),""))</f>
        <v/>
      </c>
      <c r="R60" s="58" t="str">
        <f>IF(OR(WBS!$F60="",WBS!$T60=""),"",IF(AND(13&gt;=WBS!$F60,13&lt;=WBS!$T60),IF(WBS!$L60="Done",3,IF(WBS!$L60="Doing",2,IF(WBS!$L60="Blocked",4,IF(WBS!$L60="Deferred",5,1)))),""))</f>
        <v/>
      </c>
      <c r="S60" s="58" t="str">
        <f>IF(OR(WBS!$F60="",WBS!$T60=""),"",IF(AND(14&gt;=WBS!$F60,14&lt;=WBS!$T60),IF(WBS!$L60="Done",3,IF(WBS!$L60="Doing",2,IF(WBS!$L60="Blocked",4,IF(WBS!$L60="Deferred",5,1)))),""))</f>
        <v/>
      </c>
      <c r="T60" s="58" t="str">
        <f>IF(OR(WBS!$F60="",WBS!$T60=""),"",IF(AND(15&gt;=WBS!$F60,15&lt;=WBS!$T60),IF(WBS!$L60="Done",3,IF(WBS!$L60="Doing",2,IF(WBS!$L60="Blocked",4,IF(WBS!$L60="Deferred",5,1)))),""))</f>
        <v/>
      </c>
      <c r="U60" s="58" t="str">
        <f>IF(OR(WBS!$F60="",WBS!$T60=""),"",IF(AND(16&gt;=WBS!$F60,16&lt;=WBS!$T60),IF(WBS!$L60="Done",3,IF(WBS!$L60="Doing",2,IF(WBS!$L60="Blocked",4,IF(WBS!$L60="Deferred",5,1)))),""))</f>
        <v/>
      </c>
      <c r="V60" s="58" t="str">
        <f>IF(OR(WBS!$F60="",WBS!$T60=""),"",IF(AND(17&gt;=WBS!$F60,17&lt;=WBS!$T60),IF(WBS!$L60="Done",3,IF(WBS!$L60="Doing",2,IF(WBS!$L60="Blocked",4,IF(WBS!$L60="Deferred",5,1)))),""))</f>
        <v/>
      </c>
      <c r="W60" s="58" t="str">
        <f>IF(OR(WBS!$F60="",WBS!$T60=""),"",IF(AND(18&gt;=WBS!$F60,18&lt;=WBS!$T60),IF(WBS!$L60="Done",3,IF(WBS!$L60="Doing",2,IF(WBS!$L60="Blocked",4,IF(WBS!$L60="Deferred",5,1)))),""))</f>
        <v/>
      </c>
      <c r="X60" s="58" t="str">
        <f>IF(OR(WBS!$F60="",WBS!$T60=""),"",IF(AND(19&gt;=WBS!$F60,19&lt;=WBS!$T60),IF(WBS!$L60="Done",3,IF(WBS!$L60="Doing",2,IF(WBS!$L60="Blocked",4,IF(WBS!$L60="Deferred",5,1)))),""))</f>
        <v/>
      </c>
      <c r="Y60" s="58" t="str">
        <f>IF(OR(WBS!$F60="",WBS!$T60=""),"",IF(AND(20&gt;=WBS!$F60,20&lt;=WBS!$T60),IF(WBS!$L60="Done",3,IF(WBS!$L60="Doing",2,IF(WBS!$L60="Blocked",4,IF(WBS!$L60="Deferred",5,1)))),""))</f>
        <v/>
      </c>
      <c r="Z60" s="58" t="str">
        <f>IF(OR(WBS!$F60="",WBS!$T60=""),"",IF(AND(21&gt;=WBS!$F60,21&lt;=WBS!$T60),IF(WBS!$L60="Done",3,IF(WBS!$L60="Doing",2,IF(WBS!$L60="Blocked",4,IF(WBS!$L60="Deferred",5,1)))),""))</f>
        <v/>
      </c>
    </row>
    <row r="61" spans="1:26" ht="26.4" x14ac:dyDescent="0.3">
      <c r="A61" s="64" t="str">
        <f>WBS!$A61</f>
        <v>4.2.1</v>
      </c>
      <c r="B61" s="65" t="str">
        <f>WBS!$C61</f>
        <v xml:space="preserve">        ETA propagation - offset plus dwell model with confidence levels</v>
      </c>
      <c r="C61" s="66" t="str">
        <f>IF(WBS!$E61="","",WBS!$E61)</f>
        <v>BE</v>
      </c>
      <c r="D61" s="67">
        <f>WBS!$J61</f>
        <v>2</v>
      </c>
      <c r="E61" s="68">
        <f>WBS!$M61</f>
        <v>0</v>
      </c>
      <c r="F61" s="58" t="str">
        <f>IF(OR(WBS!$F61="",WBS!$T61=""),"",IF(AND(1&gt;=WBS!$F61,1&lt;=WBS!$T61),IF(WBS!$L61="Done",3,IF(WBS!$L61="Doing",2,IF(WBS!$L61="Blocked",4,IF(WBS!$L61="Deferred",5,1)))),""))</f>
        <v/>
      </c>
      <c r="G61" s="58" t="str">
        <f>IF(OR(WBS!$F61="",WBS!$T61=""),"",IF(AND(2&gt;=WBS!$F61,2&lt;=WBS!$T61),IF(WBS!$L61="Done",3,IF(WBS!$L61="Doing",2,IF(WBS!$L61="Blocked",4,IF(WBS!$L61="Deferred",5,1)))),""))</f>
        <v/>
      </c>
      <c r="H61" s="58" t="str">
        <f>IF(OR(WBS!$F61="",WBS!$T61=""),"",IF(AND(3&gt;=WBS!$F61,3&lt;=WBS!$T61),IF(WBS!$L61="Done",3,IF(WBS!$L61="Doing",2,IF(WBS!$L61="Blocked",4,IF(WBS!$L61="Deferred",5,1)))),""))</f>
        <v/>
      </c>
      <c r="I61" s="58" t="str">
        <f>IF(OR(WBS!$F61="",WBS!$T61=""),"",IF(AND(4&gt;=WBS!$F61,4&lt;=WBS!$T61),IF(WBS!$L61="Done",3,IF(WBS!$L61="Doing",2,IF(WBS!$L61="Blocked",4,IF(WBS!$L61="Deferred",5,1)))),""))</f>
        <v/>
      </c>
      <c r="J61" s="58" t="str">
        <f>IF(OR(WBS!$F61="",WBS!$T61=""),"",IF(AND(5&gt;=WBS!$F61,5&lt;=WBS!$T61),IF(WBS!$L61="Done",3,IF(WBS!$L61="Doing",2,IF(WBS!$L61="Blocked",4,IF(WBS!$L61="Deferred",5,1)))),""))</f>
        <v/>
      </c>
      <c r="K61" s="58" t="str">
        <f>IF(OR(WBS!$F61="",WBS!$T61=""),"",IF(AND(6&gt;=WBS!$F61,6&lt;=WBS!$T61),IF(WBS!$L61="Done",3,IF(WBS!$L61="Doing",2,IF(WBS!$L61="Blocked",4,IF(WBS!$L61="Deferred",5,1)))),""))</f>
        <v/>
      </c>
      <c r="L61" s="58" t="str">
        <f>IF(OR(WBS!$F61="",WBS!$T61=""),"",IF(AND(7&gt;=WBS!$F61,7&lt;=WBS!$T61),IF(WBS!$L61="Done",3,IF(WBS!$L61="Doing",2,IF(WBS!$L61="Blocked",4,IF(WBS!$L61="Deferred",5,1)))),""))</f>
        <v/>
      </c>
      <c r="M61" s="58">
        <f>IF(OR(WBS!$F61="",WBS!$T61=""),"",IF(AND(8&gt;=WBS!$F61,8&lt;=WBS!$T61),IF(WBS!$L61="Done",3,IF(WBS!$L61="Doing",2,IF(WBS!$L61="Blocked",4,IF(WBS!$L61="Deferred",5,1)))),""))</f>
        <v>1</v>
      </c>
      <c r="N61" s="58" t="str">
        <f>IF(OR(WBS!$F61="",WBS!$T61=""),"",IF(AND(9&gt;=WBS!$F61,9&lt;=WBS!$T61),IF(WBS!$L61="Done",3,IF(WBS!$L61="Doing",2,IF(WBS!$L61="Blocked",4,IF(WBS!$L61="Deferred",5,1)))),""))</f>
        <v/>
      </c>
      <c r="O61" s="58" t="str">
        <f>IF(OR(WBS!$F61="",WBS!$T61=""),"",IF(AND(10&gt;=WBS!$F61,10&lt;=WBS!$T61),IF(WBS!$L61="Done",3,IF(WBS!$L61="Doing",2,IF(WBS!$L61="Blocked",4,IF(WBS!$L61="Deferred",5,1)))),""))</f>
        <v/>
      </c>
      <c r="P61" s="58" t="str">
        <f>IF(OR(WBS!$F61="",WBS!$T61=""),"",IF(AND(11&gt;=WBS!$F61,11&lt;=WBS!$T61),IF(WBS!$L61="Done",3,IF(WBS!$L61="Doing",2,IF(WBS!$L61="Blocked",4,IF(WBS!$L61="Deferred",5,1)))),""))</f>
        <v/>
      </c>
      <c r="Q61" s="58" t="str">
        <f>IF(OR(WBS!$F61="",WBS!$T61=""),"",IF(AND(12&gt;=WBS!$F61,12&lt;=WBS!$T61),IF(WBS!$L61="Done",3,IF(WBS!$L61="Doing",2,IF(WBS!$L61="Blocked",4,IF(WBS!$L61="Deferred",5,1)))),""))</f>
        <v/>
      </c>
      <c r="R61" s="58" t="str">
        <f>IF(OR(WBS!$F61="",WBS!$T61=""),"",IF(AND(13&gt;=WBS!$F61,13&lt;=WBS!$T61),IF(WBS!$L61="Done",3,IF(WBS!$L61="Doing",2,IF(WBS!$L61="Blocked",4,IF(WBS!$L61="Deferred",5,1)))),""))</f>
        <v/>
      </c>
      <c r="S61" s="58" t="str">
        <f>IF(OR(WBS!$F61="",WBS!$T61=""),"",IF(AND(14&gt;=WBS!$F61,14&lt;=WBS!$T61),IF(WBS!$L61="Done",3,IF(WBS!$L61="Doing",2,IF(WBS!$L61="Blocked",4,IF(WBS!$L61="Deferred",5,1)))),""))</f>
        <v/>
      </c>
      <c r="T61" s="58" t="str">
        <f>IF(OR(WBS!$F61="",WBS!$T61=""),"",IF(AND(15&gt;=WBS!$F61,15&lt;=WBS!$T61),IF(WBS!$L61="Done",3,IF(WBS!$L61="Doing",2,IF(WBS!$L61="Blocked",4,IF(WBS!$L61="Deferred",5,1)))),""))</f>
        <v/>
      </c>
      <c r="U61" s="58" t="str">
        <f>IF(OR(WBS!$F61="",WBS!$T61=""),"",IF(AND(16&gt;=WBS!$F61,16&lt;=WBS!$T61),IF(WBS!$L61="Done",3,IF(WBS!$L61="Doing",2,IF(WBS!$L61="Blocked",4,IF(WBS!$L61="Deferred",5,1)))),""))</f>
        <v/>
      </c>
      <c r="V61" s="58" t="str">
        <f>IF(OR(WBS!$F61="",WBS!$T61=""),"",IF(AND(17&gt;=WBS!$F61,17&lt;=WBS!$T61),IF(WBS!$L61="Done",3,IF(WBS!$L61="Doing",2,IF(WBS!$L61="Blocked",4,IF(WBS!$L61="Deferred",5,1)))),""))</f>
        <v/>
      </c>
      <c r="W61" s="58" t="str">
        <f>IF(OR(WBS!$F61="",WBS!$T61=""),"",IF(AND(18&gt;=WBS!$F61,18&lt;=WBS!$T61),IF(WBS!$L61="Done",3,IF(WBS!$L61="Doing",2,IF(WBS!$L61="Blocked",4,IF(WBS!$L61="Deferred",5,1)))),""))</f>
        <v/>
      </c>
      <c r="X61" s="58" t="str">
        <f>IF(OR(WBS!$F61="",WBS!$T61=""),"",IF(AND(19&gt;=WBS!$F61,19&lt;=WBS!$T61),IF(WBS!$L61="Done",3,IF(WBS!$L61="Doing",2,IF(WBS!$L61="Blocked",4,IF(WBS!$L61="Deferred",5,1)))),""))</f>
        <v/>
      </c>
      <c r="Y61" s="58" t="str">
        <f>IF(OR(WBS!$F61="",WBS!$T61=""),"",IF(AND(20&gt;=WBS!$F61,20&lt;=WBS!$T61),IF(WBS!$L61="Done",3,IF(WBS!$L61="Doing",2,IF(WBS!$L61="Blocked",4,IF(WBS!$L61="Deferred",5,1)))),""))</f>
        <v/>
      </c>
      <c r="Z61" s="58" t="str">
        <f>IF(OR(WBS!$F61="",WBS!$T61=""),"",IF(AND(21&gt;=WBS!$F61,21&lt;=WBS!$T61),IF(WBS!$L61="Done",3,IF(WBS!$L61="Doing",2,IF(WBS!$L61="Blocked",4,IF(WBS!$L61="Deferred",5,1)))),""))</f>
        <v/>
      </c>
    </row>
    <row r="62" spans="1:26" x14ac:dyDescent="0.3">
      <c r="A62" s="64" t="str">
        <f>WBS!$A62</f>
        <v>4.2.2</v>
      </c>
      <c r="B62" s="65" t="str">
        <f>WBS!$C62</f>
        <v xml:space="preserve">        Redis journey progress projection</v>
      </c>
      <c r="C62" s="66" t="str">
        <f>IF(WBS!$E62="","",WBS!$E62)</f>
        <v>BE</v>
      </c>
      <c r="D62" s="67">
        <f>WBS!$J62</f>
        <v>1</v>
      </c>
      <c r="E62" s="68">
        <f>WBS!$M62</f>
        <v>0</v>
      </c>
      <c r="F62" s="58" t="str">
        <f>IF(OR(WBS!$F62="",WBS!$T62=""),"",IF(AND(1&gt;=WBS!$F62,1&lt;=WBS!$T62),IF(WBS!$L62="Done",3,IF(WBS!$L62="Doing",2,IF(WBS!$L62="Blocked",4,IF(WBS!$L62="Deferred",5,1)))),""))</f>
        <v/>
      </c>
      <c r="G62" s="58" t="str">
        <f>IF(OR(WBS!$F62="",WBS!$T62=""),"",IF(AND(2&gt;=WBS!$F62,2&lt;=WBS!$T62),IF(WBS!$L62="Done",3,IF(WBS!$L62="Doing",2,IF(WBS!$L62="Blocked",4,IF(WBS!$L62="Deferred",5,1)))),""))</f>
        <v/>
      </c>
      <c r="H62" s="58" t="str">
        <f>IF(OR(WBS!$F62="",WBS!$T62=""),"",IF(AND(3&gt;=WBS!$F62,3&lt;=WBS!$T62),IF(WBS!$L62="Done",3,IF(WBS!$L62="Doing",2,IF(WBS!$L62="Blocked",4,IF(WBS!$L62="Deferred",5,1)))),""))</f>
        <v/>
      </c>
      <c r="I62" s="58" t="str">
        <f>IF(OR(WBS!$F62="",WBS!$T62=""),"",IF(AND(4&gt;=WBS!$F62,4&lt;=WBS!$T62),IF(WBS!$L62="Done",3,IF(WBS!$L62="Doing",2,IF(WBS!$L62="Blocked",4,IF(WBS!$L62="Deferred",5,1)))),""))</f>
        <v/>
      </c>
      <c r="J62" s="58" t="str">
        <f>IF(OR(WBS!$F62="",WBS!$T62=""),"",IF(AND(5&gt;=WBS!$F62,5&lt;=WBS!$T62),IF(WBS!$L62="Done",3,IF(WBS!$L62="Doing",2,IF(WBS!$L62="Blocked",4,IF(WBS!$L62="Deferred",5,1)))),""))</f>
        <v/>
      </c>
      <c r="K62" s="58" t="str">
        <f>IF(OR(WBS!$F62="",WBS!$T62=""),"",IF(AND(6&gt;=WBS!$F62,6&lt;=WBS!$T62),IF(WBS!$L62="Done",3,IF(WBS!$L62="Doing",2,IF(WBS!$L62="Blocked",4,IF(WBS!$L62="Deferred",5,1)))),""))</f>
        <v/>
      </c>
      <c r="L62" s="58" t="str">
        <f>IF(OR(WBS!$F62="",WBS!$T62=""),"",IF(AND(7&gt;=WBS!$F62,7&lt;=WBS!$T62),IF(WBS!$L62="Done",3,IF(WBS!$L62="Doing",2,IF(WBS!$L62="Blocked",4,IF(WBS!$L62="Deferred",5,1)))),""))</f>
        <v/>
      </c>
      <c r="M62" s="58">
        <f>IF(OR(WBS!$F62="",WBS!$T62=""),"",IF(AND(8&gt;=WBS!$F62,8&lt;=WBS!$T62),IF(WBS!$L62="Done",3,IF(WBS!$L62="Doing",2,IF(WBS!$L62="Blocked",4,IF(WBS!$L62="Deferred",5,1)))),""))</f>
        <v>1</v>
      </c>
      <c r="N62" s="58" t="str">
        <f>IF(OR(WBS!$F62="",WBS!$T62=""),"",IF(AND(9&gt;=WBS!$F62,9&lt;=WBS!$T62),IF(WBS!$L62="Done",3,IF(WBS!$L62="Doing",2,IF(WBS!$L62="Blocked",4,IF(WBS!$L62="Deferred",5,1)))),""))</f>
        <v/>
      </c>
      <c r="O62" s="58" t="str">
        <f>IF(OR(WBS!$F62="",WBS!$T62=""),"",IF(AND(10&gt;=WBS!$F62,10&lt;=WBS!$T62),IF(WBS!$L62="Done",3,IF(WBS!$L62="Doing",2,IF(WBS!$L62="Blocked",4,IF(WBS!$L62="Deferred",5,1)))),""))</f>
        <v/>
      </c>
      <c r="P62" s="58" t="str">
        <f>IF(OR(WBS!$F62="",WBS!$T62=""),"",IF(AND(11&gt;=WBS!$F62,11&lt;=WBS!$T62),IF(WBS!$L62="Done",3,IF(WBS!$L62="Doing",2,IF(WBS!$L62="Blocked",4,IF(WBS!$L62="Deferred",5,1)))),""))</f>
        <v/>
      </c>
      <c r="Q62" s="58" t="str">
        <f>IF(OR(WBS!$F62="",WBS!$T62=""),"",IF(AND(12&gt;=WBS!$F62,12&lt;=WBS!$T62),IF(WBS!$L62="Done",3,IF(WBS!$L62="Doing",2,IF(WBS!$L62="Blocked",4,IF(WBS!$L62="Deferred",5,1)))),""))</f>
        <v/>
      </c>
      <c r="R62" s="58" t="str">
        <f>IF(OR(WBS!$F62="",WBS!$T62=""),"",IF(AND(13&gt;=WBS!$F62,13&lt;=WBS!$T62),IF(WBS!$L62="Done",3,IF(WBS!$L62="Doing",2,IF(WBS!$L62="Blocked",4,IF(WBS!$L62="Deferred",5,1)))),""))</f>
        <v/>
      </c>
      <c r="S62" s="58" t="str">
        <f>IF(OR(WBS!$F62="",WBS!$T62=""),"",IF(AND(14&gt;=WBS!$F62,14&lt;=WBS!$T62),IF(WBS!$L62="Done",3,IF(WBS!$L62="Doing",2,IF(WBS!$L62="Blocked",4,IF(WBS!$L62="Deferred",5,1)))),""))</f>
        <v/>
      </c>
      <c r="T62" s="58" t="str">
        <f>IF(OR(WBS!$F62="",WBS!$T62=""),"",IF(AND(15&gt;=WBS!$F62,15&lt;=WBS!$T62),IF(WBS!$L62="Done",3,IF(WBS!$L62="Doing",2,IF(WBS!$L62="Blocked",4,IF(WBS!$L62="Deferred",5,1)))),""))</f>
        <v/>
      </c>
      <c r="U62" s="58" t="str">
        <f>IF(OR(WBS!$F62="",WBS!$T62=""),"",IF(AND(16&gt;=WBS!$F62,16&lt;=WBS!$T62),IF(WBS!$L62="Done",3,IF(WBS!$L62="Doing",2,IF(WBS!$L62="Blocked",4,IF(WBS!$L62="Deferred",5,1)))),""))</f>
        <v/>
      </c>
      <c r="V62" s="58" t="str">
        <f>IF(OR(WBS!$F62="",WBS!$T62=""),"",IF(AND(17&gt;=WBS!$F62,17&lt;=WBS!$T62),IF(WBS!$L62="Done",3,IF(WBS!$L62="Doing",2,IF(WBS!$L62="Blocked",4,IF(WBS!$L62="Deferred",5,1)))),""))</f>
        <v/>
      </c>
      <c r="W62" s="58" t="str">
        <f>IF(OR(WBS!$F62="",WBS!$T62=""),"",IF(AND(18&gt;=WBS!$F62,18&lt;=WBS!$T62),IF(WBS!$L62="Done",3,IF(WBS!$L62="Doing",2,IF(WBS!$L62="Blocked",4,IF(WBS!$L62="Deferred",5,1)))),""))</f>
        <v/>
      </c>
      <c r="X62" s="58" t="str">
        <f>IF(OR(WBS!$F62="",WBS!$T62=""),"",IF(AND(19&gt;=WBS!$F62,19&lt;=WBS!$T62),IF(WBS!$L62="Done",3,IF(WBS!$L62="Doing",2,IF(WBS!$L62="Blocked",4,IF(WBS!$L62="Deferred",5,1)))),""))</f>
        <v/>
      </c>
      <c r="Y62" s="58" t="str">
        <f>IF(OR(WBS!$F62="",WBS!$T62=""),"",IF(AND(20&gt;=WBS!$F62,20&lt;=WBS!$T62),IF(WBS!$L62="Done",3,IF(WBS!$L62="Doing",2,IF(WBS!$L62="Blocked",4,IF(WBS!$L62="Deferred",5,1)))),""))</f>
        <v/>
      </c>
      <c r="Z62" s="58" t="str">
        <f>IF(OR(WBS!$F62="",WBS!$T62=""),"",IF(AND(21&gt;=WBS!$F62,21&lt;=WBS!$T62),IF(WBS!$L62="Done",3,IF(WBS!$L62="Doing",2,IF(WBS!$L62="Blocked",4,IF(WBS!$L62="Deferred",5,1)))),""))</f>
        <v/>
      </c>
    </row>
    <row r="63" spans="1:26" x14ac:dyDescent="0.3">
      <c r="A63" s="59" t="str">
        <f>WBS!$A63</f>
        <v>4.3</v>
      </c>
      <c r="B63" s="60" t="str">
        <f>WBS!$C63</f>
        <v xml:space="preserve">    Realtime distribution</v>
      </c>
      <c r="C63" s="61" t="str">
        <f>IF(WBS!$E63="","",WBS!$E63)</f>
        <v/>
      </c>
      <c r="D63" s="62">
        <f>WBS!$J63</f>
        <v>4</v>
      </c>
      <c r="E63" s="63">
        <f>WBS!$M63</f>
        <v>0</v>
      </c>
      <c r="F63" s="58" t="str">
        <f>IF(OR(WBS!$F63="",WBS!$T63=""),"",IF(AND(1&gt;=WBS!$F63,1&lt;=WBS!$T63),IF(WBS!$L63="Done",3,IF(WBS!$L63="Doing",2,IF(WBS!$L63="Blocked",4,IF(WBS!$L63="Deferred",5,1)))),""))</f>
        <v/>
      </c>
      <c r="G63" s="58" t="str">
        <f>IF(OR(WBS!$F63="",WBS!$T63=""),"",IF(AND(2&gt;=WBS!$F63,2&lt;=WBS!$T63),IF(WBS!$L63="Done",3,IF(WBS!$L63="Doing",2,IF(WBS!$L63="Blocked",4,IF(WBS!$L63="Deferred",5,1)))),""))</f>
        <v/>
      </c>
      <c r="H63" s="58" t="str">
        <f>IF(OR(WBS!$F63="",WBS!$T63=""),"",IF(AND(3&gt;=WBS!$F63,3&lt;=WBS!$T63),IF(WBS!$L63="Done",3,IF(WBS!$L63="Doing",2,IF(WBS!$L63="Blocked",4,IF(WBS!$L63="Deferred",5,1)))),""))</f>
        <v/>
      </c>
      <c r="I63" s="58" t="str">
        <f>IF(OR(WBS!$F63="",WBS!$T63=""),"",IF(AND(4&gt;=WBS!$F63,4&lt;=WBS!$T63),IF(WBS!$L63="Done",3,IF(WBS!$L63="Doing",2,IF(WBS!$L63="Blocked",4,IF(WBS!$L63="Deferred",5,1)))),""))</f>
        <v/>
      </c>
      <c r="J63" s="58" t="str">
        <f>IF(OR(WBS!$F63="",WBS!$T63=""),"",IF(AND(5&gt;=WBS!$F63,5&lt;=WBS!$T63),IF(WBS!$L63="Done",3,IF(WBS!$L63="Doing",2,IF(WBS!$L63="Blocked",4,IF(WBS!$L63="Deferred",5,1)))),""))</f>
        <v/>
      </c>
      <c r="K63" s="58" t="str">
        <f>IF(OR(WBS!$F63="",WBS!$T63=""),"",IF(AND(6&gt;=WBS!$F63,6&lt;=WBS!$T63),IF(WBS!$L63="Done",3,IF(WBS!$L63="Doing",2,IF(WBS!$L63="Blocked",4,IF(WBS!$L63="Deferred",5,1)))),""))</f>
        <v/>
      </c>
      <c r="L63" s="58" t="str">
        <f>IF(OR(WBS!$F63="",WBS!$T63=""),"",IF(AND(7&gt;=WBS!$F63,7&lt;=WBS!$T63),IF(WBS!$L63="Done",3,IF(WBS!$L63="Doing",2,IF(WBS!$L63="Blocked",4,IF(WBS!$L63="Deferred",5,1)))),""))</f>
        <v/>
      </c>
      <c r="M63" s="58" t="str">
        <f>IF(OR(WBS!$F63="",WBS!$T63=""),"",IF(AND(8&gt;=WBS!$F63,8&lt;=WBS!$T63),IF(WBS!$L63="Done",3,IF(WBS!$L63="Doing",2,IF(WBS!$L63="Blocked",4,IF(WBS!$L63="Deferred",5,1)))),""))</f>
        <v/>
      </c>
      <c r="N63" s="58">
        <f>IF(OR(WBS!$F63="",WBS!$T63=""),"",IF(AND(9&gt;=WBS!$F63,9&lt;=WBS!$T63),IF(WBS!$L63="Done",3,IF(WBS!$L63="Doing",2,IF(WBS!$L63="Blocked",4,IF(WBS!$L63="Deferred",5,1)))),""))</f>
        <v>1</v>
      </c>
      <c r="O63" s="58" t="str">
        <f>IF(OR(WBS!$F63="",WBS!$T63=""),"",IF(AND(10&gt;=WBS!$F63,10&lt;=WBS!$T63),IF(WBS!$L63="Done",3,IF(WBS!$L63="Doing",2,IF(WBS!$L63="Blocked",4,IF(WBS!$L63="Deferred",5,1)))),""))</f>
        <v/>
      </c>
      <c r="P63" s="58" t="str">
        <f>IF(OR(WBS!$F63="",WBS!$T63=""),"",IF(AND(11&gt;=WBS!$F63,11&lt;=WBS!$T63),IF(WBS!$L63="Done",3,IF(WBS!$L63="Doing",2,IF(WBS!$L63="Blocked",4,IF(WBS!$L63="Deferred",5,1)))),""))</f>
        <v/>
      </c>
      <c r="Q63" s="58" t="str">
        <f>IF(OR(WBS!$F63="",WBS!$T63=""),"",IF(AND(12&gt;=WBS!$F63,12&lt;=WBS!$T63),IF(WBS!$L63="Done",3,IF(WBS!$L63="Doing",2,IF(WBS!$L63="Blocked",4,IF(WBS!$L63="Deferred",5,1)))),""))</f>
        <v/>
      </c>
      <c r="R63" s="58" t="str">
        <f>IF(OR(WBS!$F63="",WBS!$T63=""),"",IF(AND(13&gt;=WBS!$F63,13&lt;=WBS!$T63),IF(WBS!$L63="Done",3,IF(WBS!$L63="Doing",2,IF(WBS!$L63="Blocked",4,IF(WBS!$L63="Deferred",5,1)))),""))</f>
        <v/>
      </c>
      <c r="S63" s="58" t="str">
        <f>IF(OR(WBS!$F63="",WBS!$T63=""),"",IF(AND(14&gt;=WBS!$F63,14&lt;=WBS!$T63),IF(WBS!$L63="Done",3,IF(WBS!$L63="Doing",2,IF(WBS!$L63="Blocked",4,IF(WBS!$L63="Deferred",5,1)))),""))</f>
        <v/>
      </c>
      <c r="T63" s="58" t="str">
        <f>IF(OR(WBS!$F63="",WBS!$T63=""),"",IF(AND(15&gt;=WBS!$F63,15&lt;=WBS!$T63),IF(WBS!$L63="Done",3,IF(WBS!$L63="Doing",2,IF(WBS!$L63="Blocked",4,IF(WBS!$L63="Deferred",5,1)))),""))</f>
        <v/>
      </c>
      <c r="U63" s="58" t="str">
        <f>IF(OR(WBS!$F63="",WBS!$T63=""),"",IF(AND(16&gt;=WBS!$F63,16&lt;=WBS!$T63),IF(WBS!$L63="Done",3,IF(WBS!$L63="Doing",2,IF(WBS!$L63="Blocked",4,IF(WBS!$L63="Deferred",5,1)))),""))</f>
        <v/>
      </c>
      <c r="V63" s="58" t="str">
        <f>IF(OR(WBS!$F63="",WBS!$T63=""),"",IF(AND(17&gt;=WBS!$F63,17&lt;=WBS!$T63),IF(WBS!$L63="Done",3,IF(WBS!$L63="Doing",2,IF(WBS!$L63="Blocked",4,IF(WBS!$L63="Deferred",5,1)))),""))</f>
        <v/>
      </c>
      <c r="W63" s="58" t="str">
        <f>IF(OR(WBS!$F63="",WBS!$T63=""),"",IF(AND(18&gt;=WBS!$F63,18&lt;=WBS!$T63),IF(WBS!$L63="Done",3,IF(WBS!$L63="Doing",2,IF(WBS!$L63="Blocked",4,IF(WBS!$L63="Deferred",5,1)))),""))</f>
        <v/>
      </c>
      <c r="X63" s="58" t="str">
        <f>IF(OR(WBS!$F63="",WBS!$T63=""),"",IF(AND(19&gt;=WBS!$F63,19&lt;=WBS!$T63),IF(WBS!$L63="Done",3,IF(WBS!$L63="Doing",2,IF(WBS!$L63="Blocked",4,IF(WBS!$L63="Deferred",5,1)))),""))</f>
        <v/>
      </c>
      <c r="Y63" s="58" t="str">
        <f>IF(OR(WBS!$F63="",WBS!$T63=""),"",IF(AND(20&gt;=WBS!$F63,20&lt;=WBS!$T63),IF(WBS!$L63="Done",3,IF(WBS!$L63="Doing",2,IF(WBS!$L63="Blocked",4,IF(WBS!$L63="Deferred",5,1)))),""))</f>
        <v/>
      </c>
      <c r="Z63" s="58" t="str">
        <f>IF(OR(WBS!$F63="",WBS!$T63=""),"",IF(AND(21&gt;=WBS!$F63,21&lt;=WBS!$T63),IF(WBS!$L63="Done",3,IF(WBS!$L63="Doing",2,IF(WBS!$L63="Blocked",4,IF(WBS!$L63="Deferred",5,1)))),""))</f>
        <v/>
      </c>
    </row>
    <row r="64" spans="1:26" x14ac:dyDescent="0.3">
      <c r="A64" s="64" t="str">
        <f>WBS!$A64</f>
        <v>4.3.1</v>
      </c>
      <c r="B64" s="65" t="str">
        <f>WBS!$C64</f>
        <v xml:space="preserve">        SignalR hub - snapshot then delta, jittered reconnect</v>
      </c>
      <c r="C64" s="66" t="str">
        <f>IF(WBS!$E64="","",WBS!$E64)</f>
        <v>BE</v>
      </c>
      <c r="D64" s="67">
        <f>WBS!$J64</f>
        <v>3</v>
      </c>
      <c r="E64" s="68">
        <f>WBS!$M64</f>
        <v>0</v>
      </c>
      <c r="F64" s="58" t="str">
        <f>IF(OR(WBS!$F64="",WBS!$T64=""),"",IF(AND(1&gt;=WBS!$F64,1&lt;=WBS!$T64),IF(WBS!$L64="Done",3,IF(WBS!$L64="Doing",2,IF(WBS!$L64="Blocked",4,IF(WBS!$L64="Deferred",5,1)))),""))</f>
        <v/>
      </c>
      <c r="G64" s="58" t="str">
        <f>IF(OR(WBS!$F64="",WBS!$T64=""),"",IF(AND(2&gt;=WBS!$F64,2&lt;=WBS!$T64),IF(WBS!$L64="Done",3,IF(WBS!$L64="Doing",2,IF(WBS!$L64="Blocked",4,IF(WBS!$L64="Deferred",5,1)))),""))</f>
        <v/>
      </c>
      <c r="H64" s="58" t="str">
        <f>IF(OR(WBS!$F64="",WBS!$T64=""),"",IF(AND(3&gt;=WBS!$F64,3&lt;=WBS!$T64),IF(WBS!$L64="Done",3,IF(WBS!$L64="Doing",2,IF(WBS!$L64="Blocked",4,IF(WBS!$L64="Deferred",5,1)))),""))</f>
        <v/>
      </c>
      <c r="I64" s="58" t="str">
        <f>IF(OR(WBS!$F64="",WBS!$T64=""),"",IF(AND(4&gt;=WBS!$F64,4&lt;=WBS!$T64),IF(WBS!$L64="Done",3,IF(WBS!$L64="Doing",2,IF(WBS!$L64="Blocked",4,IF(WBS!$L64="Deferred",5,1)))),""))</f>
        <v/>
      </c>
      <c r="J64" s="58" t="str">
        <f>IF(OR(WBS!$F64="",WBS!$T64=""),"",IF(AND(5&gt;=WBS!$F64,5&lt;=WBS!$T64),IF(WBS!$L64="Done",3,IF(WBS!$L64="Doing",2,IF(WBS!$L64="Blocked",4,IF(WBS!$L64="Deferred",5,1)))),""))</f>
        <v/>
      </c>
      <c r="K64" s="58" t="str">
        <f>IF(OR(WBS!$F64="",WBS!$T64=""),"",IF(AND(6&gt;=WBS!$F64,6&lt;=WBS!$T64),IF(WBS!$L64="Done",3,IF(WBS!$L64="Doing",2,IF(WBS!$L64="Blocked",4,IF(WBS!$L64="Deferred",5,1)))),""))</f>
        <v/>
      </c>
      <c r="L64" s="58" t="str">
        <f>IF(OR(WBS!$F64="",WBS!$T64=""),"",IF(AND(7&gt;=WBS!$F64,7&lt;=WBS!$T64),IF(WBS!$L64="Done",3,IF(WBS!$L64="Doing",2,IF(WBS!$L64="Blocked",4,IF(WBS!$L64="Deferred",5,1)))),""))</f>
        <v/>
      </c>
      <c r="M64" s="58" t="str">
        <f>IF(OR(WBS!$F64="",WBS!$T64=""),"",IF(AND(8&gt;=WBS!$F64,8&lt;=WBS!$T64),IF(WBS!$L64="Done",3,IF(WBS!$L64="Doing",2,IF(WBS!$L64="Blocked",4,IF(WBS!$L64="Deferred",5,1)))),""))</f>
        <v/>
      </c>
      <c r="N64" s="58">
        <f>IF(OR(WBS!$F64="",WBS!$T64=""),"",IF(AND(9&gt;=WBS!$F64,9&lt;=WBS!$T64),IF(WBS!$L64="Done",3,IF(WBS!$L64="Doing",2,IF(WBS!$L64="Blocked",4,IF(WBS!$L64="Deferred",5,1)))),""))</f>
        <v>1</v>
      </c>
      <c r="O64" s="58" t="str">
        <f>IF(OR(WBS!$F64="",WBS!$T64=""),"",IF(AND(10&gt;=WBS!$F64,10&lt;=WBS!$T64),IF(WBS!$L64="Done",3,IF(WBS!$L64="Doing",2,IF(WBS!$L64="Blocked",4,IF(WBS!$L64="Deferred",5,1)))),""))</f>
        <v/>
      </c>
      <c r="P64" s="58" t="str">
        <f>IF(OR(WBS!$F64="",WBS!$T64=""),"",IF(AND(11&gt;=WBS!$F64,11&lt;=WBS!$T64),IF(WBS!$L64="Done",3,IF(WBS!$L64="Doing",2,IF(WBS!$L64="Blocked",4,IF(WBS!$L64="Deferred",5,1)))),""))</f>
        <v/>
      </c>
      <c r="Q64" s="58" t="str">
        <f>IF(OR(WBS!$F64="",WBS!$T64=""),"",IF(AND(12&gt;=WBS!$F64,12&lt;=WBS!$T64),IF(WBS!$L64="Done",3,IF(WBS!$L64="Doing",2,IF(WBS!$L64="Blocked",4,IF(WBS!$L64="Deferred",5,1)))),""))</f>
        <v/>
      </c>
      <c r="R64" s="58" t="str">
        <f>IF(OR(WBS!$F64="",WBS!$T64=""),"",IF(AND(13&gt;=WBS!$F64,13&lt;=WBS!$T64),IF(WBS!$L64="Done",3,IF(WBS!$L64="Doing",2,IF(WBS!$L64="Blocked",4,IF(WBS!$L64="Deferred",5,1)))),""))</f>
        <v/>
      </c>
      <c r="S64" s="58" t="str">
        <f>IF(OR(WBS!$F64="",WBS!$T64=""),"",IF(AND(14&gt;=WBS!$F64,14&lt;=WBS!$T64),IF(WBS!$L64="Done",3,IF(WBS!$L64="Doing",2,IF(WBS!$L64="Blocked",4,IF(WBS!$L64="Deferred",5,1)))),""))</f>
        <v/>
      </c>
      <c r="T64" s="58" t="str">
        <f>IF(OR(WBS!$F64="",WBS!$T64=""),"",IF(AND(15&gt;=WBS!$F64,15&lt;=WBS!$T64),IF(WBS!$L64="Done",3,IF(WBS!$L64="Doing",2,IF(WBS!$L64="Blocked",4,IF(WBS!$L64="Deferred",5,1)))),""))</f>
        <v/>
      </c>
      <c r="U64" s="58" t="str">
        <f>IF(OR(WBS!$F64="",WBS!$T64=""),"",IF(AND(16&gt;=WBS!$F64,16&lt;=WBS!$T64),IF(WBS!$L64="Done",3,IF(WBS!$L64="Doing",2,IF(WBS!$L64="Blocked",4,IF(WBS!$L64="Deferred",5,1)))),""))</f>
        <v/>
      </c>
      <c r="V64" s="58" t="str">
        <f>IF(OR(WBS!$F64="",WBS!$T64=""),"",IF(AND(17&gt;=WBS!$F64,17&lt;=WBS!$T64),IF(WBS!$L64="Done",3,IF(WBS!$L64="Doing",2,IF(WBS!$L64="Blocked",4,IF(WBS!$L64="Deferred",5,1)))),""))</f>
        <v/>
      </c>
      <c r="W64" s="58" t="str">
        <f>IF(OR(WBS!$F64="",WBS!$T64=""),"",IF(AND(18&gt;=WBS!$F64,18&lt;=WBS!$T64),IF(WBS!$L64="Done",3,IF(WBS!$L64="Doing",2,IF(WBS!$L64="Blocked",4,IF(WBS!$L64="Deferred",5,1)))),""))</f>
        <v/>
      </c>
      <c r="X64" s="58" t="str">
        <f>IF(OR(WBS!$F64="",WBS!$T64=""),"",IF(AND(19&gt;=WBS!$F64,19&lt;=WBS!$T64),IF(WBS!$L64="Done",3,IF(WBS!$L64="Doing",2,IF(WBS!$L64="Blocked",4,IF(WBS!$L64="Deferred",5,1)))),""))</f>
        <v/>
      </c>
      <c r="Y64" s="58" t="str">
        <f>IF(OR(WBS!$F64="",WBS!$T64=""),"",IF(AND(20&gt;=WBS!$F64,20&lt;=WBS!$T64),IF(WBS!$L64="Done",3,IF(WBS!$L64="Doing",2,IF(WBS!$L64="Blocked",4,IF(WBS!$L64="Deferred",5,1)))),""))</f>
        <v/>
      </c>
      <c r="Z64" s="58" t="str">
        <f>IF(OR(WBS!$F64="",WBS!$T64=""),"",IF(AND(21&gt;=WBS!$F64,21&lt;=WBS!$T64),IF(WBS!$L64="Done",3,IF(WBS!$L64="Doing",2,IF(WBS!$L64="Blocked",4,IF(WBS!$L64="Deferred",5,1)))),""))</f>
        <v/>
      </c>
    </row>
    <row r="65" spans="1:26" x14ac:dyDescent="0.3">
      <c r="A65" s="64" t="str">
        <f>WBS!$A65</f>
        <v>4.3.2</v>
      </c>
      <c r="B65" s="65" t="str">
        <f>WBS!$C65</f>
        <v xml:space="preserve">        Notification outbox with dedup and throttle rules</v>
      </c>
      <c r="C65" s="66" t="str">
        <f>IF(WBS!$E65="","",WBS!$E65)</f>
        <v>BE</v>
      </c>
      <c r="D65" s="67">
        <f>WBS!$J65</f>
        <v>1</v>
      </c>
      <c r="E65" s="68">
        <f>WBS!$M65</f>
        <v>0</v>
      </c>
      <c r="F65" s="58" t="str">
        <f>IF(OR(WBS!$F65="",WBS!$T65=""),"",IF(AND(1&gt;=WBS!$F65,1&lt;=WBS!$T65),IF(WBS!$L65="Done",3,IF(WBS!$L65="Doing",2,IF(WBS!$L65="Blocked",4,IF(WBS!$L65="Deferred",5,1)))),""))</f>
        <v/>
      </c>
      <c r="G65" s="58" t="str">
        <f>IF(OR(WBS!$F65="",WBS!$T65=""),"",IF(AND(2&gt;=WBS!$F65,2&lt;=WBS!$T65),IF(WBS!$L65="Done",3,IF(WBS!$L65="Doing",2,IF(WBS!$L65="Blocked",4,IF(WBS!$L65="Deferred",5,1)))),""))</f>
        <v/>
      </c>
      <c r="H65" s="58" t="str">
        <f>IF(OR(WBS!$F65="",WBS!$T65=""),"",IF(AND(3&gt;=WBS!$F65,3&lt;=WBS!$T65),IF(WBS!$L65="Done",3,IF(WBS!$L65="Doing",2,IF(WBS!$L65="Blocked",4,IF(WBS!$L65="Deferred",5,1)))),""))</f>
        <v/>
      </c>
      <c r="I65" s="58" t="str">
        <f>IF(OR(WBS!$F65="",WBS!$T65=""),"",IF(AND(4&gt;=WBS!$F65,4&lt;=WBS!$T65),IF(WBS!$L65="Done",3,IF(WBS!$L65="Doing",2,IF(WBS!$L65="Blocked",4,IF(WBS!$L65="Deferred",5,1)))),""))</f>
        <v/>
      </c>
      <c r="J65" s="58" t="str">
        <f>IF(OR(WBS!$F65="",WBS!$T65=""),"",IF(AND(5&gt;=WBS!$F65,5&lt;=WBS!$T65),IF(WBS!$L65="Done",3,IF(WBS!$L65="Doing",2,IF(WBS!$L65="Blocked",4,IF(WBS!$L65="Deferred",5,1)))),""))</f>
        <v/>
      </c>
      <c r="K65" s="58" t="str">
        <f>IF(OR(WBS!$F65="",WBS!$T65=""),"",IF(AND(6&gt;=WBS!$F65,6&lt;=WBS!$T65),IF(WBS!$L65="Done",3,IF(WBS!$L65="Doing",2,IF(WBS!$L65="Blocked",4,IF(WBS!$L65="Deferred",5,1)))),""))</f>
        <v/>
      </c>
      <c r="L65" s="58" t="str">
        <f>IF(OR(WBS!$F65="",WBS!$T65=""),"",IF(AND(7&gt;=WBS!$F65,7&lt;=WBS!$T65),IF(WBS!$L65="Done",3,IF(WBS!$L65="Doing",2,IF(WBS!$L65="Blocked",4,IF(WBS!$L65="Deferred",5,1)))),""))</f>
        <v/>
      </c>
      <c r="M65" s="58" t="str">
        <f>IF(OR(WBS!$F65="",WBS!$T65=""),"",IF(AND(8&gt;=WBS!$F65,8&lt;=WBS!$T65),IF(WBS!$L65="Done",3,IF(WBS!$L65="Doing",2,IF(WBS!$L65="Blocked",4,IF(WBS!$L65="Deferred",5,1)))),""))</f>
        <v/>
      </c>
      <c r="N65" s="58">
        <f>IF(OR(WBS!$F65="",WBS!$T65=""),"",IF(AND(9&gt;=WBS!$F65,9&lt;=WBS!$T65),IF(WBS!$L65="Done",3,IF(WBS!$L65="Doing",2,IF(WBS!$L65="Blocked",4,IF(WBS!$L65="Deferred",5,1)))),""))</f>
        <v>1</v>
      </c>
      <c r="O65" s="58" t="str">
        <f>IF(OR(WBS!$F65="",WBS!$T65=""),"",IF(AND(10&gt;=WBS!$F65,10&lt;=WBS!$T65),IF(WBS!$L65="Done",3,IF(WBS!$L65="Doing",2,IF(WBS!$L65="Blocked",4,IF(WBS!$L65="Deferred",5,1)))),""))</f>
        <v/>
      </c>
      <c r="P65" s="58" t="str">
        <f>IF(OR(WBS!$F65="",WBS!$T65=""),"",IF(AND(11&gt;=WBS!$F65,11&lt;=WBS!$T65),IF(WBS!$L65="Done",3,IF(WBS!$L65="Doing",2,IF(WBS!$L65="Blocked",4,IF(WBS!$L65="Deferred",5,1)))),""))</f>
        <v/>
      </c>
      <c r="Q65" s="58" t="str">
        <f>IF(OR(WBS!$F65="",WBS!$T65=""),"",IF(AND(12&gt;=WBS!$F65,12&lt;=WBS!$T65),IF(WBS!$L65="Done",3,IF(WBS!$L65="Doing",2,IF(WBS!$L65="Blocked",4,IF(WBS!$L65="Deferred",5,1)))),""))</f>
        <v/>
      </c>
      <c r="R65" s="58" t="str">
        <f>IF(OR(WBS!$F65="",WBS!$T65=""),"",IF(AND(13&gt;=WBS!$F65,13&lt;=WBS!$T65),IF(WBS!$L65="Done",3,IF(WBS!$L65="Doing",2,IF(WBS!$L65="Blocked",4,IF(WBS!$L65="Deferred",5,1)))),""))</f>
        <v/>
      </c>
      <c r="S65" s="58" t="str">
        <f>IF(OR(WBS!$F65="",WBS!$T65=""),"",IF(AND(14&gt;=WBS!$F65,14&lt;=WBS!$T65),IF(WBS!$L65="Done",3,IF(WBS!$L65="Doing",2,IF(WBS!$L65="Blocked",4,IF(WBS!$L65="Deferred",5,1)))),""))</f>
        <v/>
      </c>
      <c r="T65" s="58" t="str">
        <f>IF(OR(WBS!$F65="",WBS!$T65=""),"",IF(AND(15&gt;=WBS!$F65,15&lt;=WBS!$T65),IF(WBS!$L65="Done",3,IF(WBS!$L65="Doing",2,IF(WBS!$L65="Blocked",4,IF(WBS!$L65="Deferred",5,1)))),""))</f>
        <v/>
      </c>
      <c r="U65" s="58" t="str">
        <f>IF(OR(WBS!$F65="",WBS!$T65=""),"",IF(AND(16&gt;=WBS!$F65,16&lt;=WBS!$T65),IF(WBS!$L65="Done",3,IF(WBS!$L65="Doing",2,IF(WBS!$L65="Blocked",4,IF(WBS!$L65="Deferred",5,1)))),""))</f>
        <v/>
      </c>
      <c r="V65" s="58" t="str">
        <f>IF(OR(WBS!$F65="",WBS!$T65=""),"",IF(AND(17&gt;=WBS!$F65,17&lt;=WBS!$T65),IF(WBS!$L65="Done",3,IF(WBS!$L65="Doing",2,IF(WBS!$L65="Blocked",4,IF(WBS!$L65="Deferred",5,1)))),""))</f>
        <v/>
      </c>
      <c r="W65" s="58" t="str">
        <f>IF(OR(WBS!$F65="",WBS!$T65=""),"",IF(AND(18&gt;=WBS!$F65,18&lt;=WBS!$T65),IF(WBS!$L65="Done",3,IF(WBS!$L65="Doing",2,IF(WBS!$L65="Blocked",4,IF(WBS!$L65="Deferred",5,1)))),""))</f>
        <v/>
      </c>
      <c r="X65" s="58" t="str">
        <f>IF(OR(WBS!$F65="",WBS!$T65=""),"",IF(AND(19&gt;=WBS!$F65,19&lt;=WBS!$T65),IF(WBS!$L65="Done",3,IF(WBS!$L65="Doing",2,IF(WBS!$L65="Blocked",4,IF(WBS!$L65="Deferred",5,1)))),""))</f>
        <v/>
      </c>
      <c r="Y65" s="58" t="str">
        <f>IF(OR(WBS!$F65="",WBS!$T65=""),"",IF(AND(20&gt;=WBS!$F65,20&lt;=WBS!$T65),IF(WBS!$L65="Done",3,IF(WBS!$L65="Doing",2,IF(WBS!$L65="Blocked",4,IF(WBS!$L65="Deferred",5,1)))),""))</f>
        <v/>
      </c>
      <c r="Z65" s="58" t="str">
        <f>IF(OR(WBS!$F65="",WBS!$T65=""),"",IF(AND(21&gt;=WBS!$F65,21&lt;=WBS!$T65),IF(WBS!$L65="Done",3,IF(WBS!$L65="Doing",2,IF(WBS!$L65="Blocked",4,IF(WBS!$L65="Deferred",5,1)))),""))</f>
        <v/>
      </c>
    </row>
    <row r="66" spans="1:26" x14ac:dyDescent="0.3">
      <c r="A66" s="59" t="str">
        <f>WBS!$A66</f>
        <v>4.4</v>
      </c>
      <c r="B66" s="60" t="str">
        <f>WBS!$C66</f>
        <v xml:space="preserve">    Disruptions</v>
      </c>
      <c r="C66" s="61" t="str">
        <f>IF(WBS!$E66="","",WBS!$E66)</f>
        <v/>
      </c>
      <c r="D66" s="62">
        <f>WBS!$J66</f>
        <v>4</v>
      </c>
      <c r="E66" s="63">
        <f>WBS!$M66</f>
        <v>0</v>
      </c>
      <c r="F66" s="58" t="str">
        <f>IF(OR(WBS!$F66="",WBS!$T66=""),"",IF(AND(1&gt;=WBS!$F66,1&lt;=WBS!$T66),IF(WBS!$L66="Done",3,IF(WBS!$L66="Doing",2,IF(WBS!$L66="Blocked",4,IF(WBS!$L66="Deferred",5,1)))),""))</f>
        <v/>
      </c>
      <c r="G66" s="58" t="str">
        <f>IF(OR(WBS!$F66="",WBS!$T66=""),"",IF(AND(2&gt;=WBS!$F66,2&lt;=WBS!$T66),IF(WBS!$L66="Done",3,IF(WBS!$L66="Doing",2,IF(WBS!$L66="Blocked",4,IF(WBS!$L66="Deferred",5,1)))),""))</f>
        <v/>
      </c>
      <c r="H66" s="58" t="str">
        <f>IF(OR(WBS!$F66="",WBS!$T66=""),"",IF(AND(3&gt;=WBS!$F66,3&lt;=WBS!$T66),IF(WBS!$L66="Done",3,IF(WBS!$L66="Doing",2,IF(WBS!$L66="Blocked",4,IF(WBS!$L66="Deferred",5,1)))),""))</f>
        <v/>
      </c>
      <c r="I66" s="58" t="str">
        <f>IF(OR(WBS!$F66="",WBS!$T66=""),"",IF(AND(4&gt;=WBS!$F66,4&lt;=WBS!$T66),IF(WBS!$L66="Done",3,IF(WBS!$L66="Doing",2,IF(WBS!$L66="Blocked",4,IF(WBS!$L66="Deferred",5,1)))),""))</f>
        <v/>
      </c>
      <c r="J66" s="58" t="str">
        <f>IF(OR(WBS!$F66="",WBS!$T66=""),"",IF(AND(5&gt;=WBS!$F66,5&lt;=WBS!$T66),IF(WBS!$L66="Done",3,IF(WBS!$L66="Doing",2,IF(WBS!$L66="Blocked",4,IF(WBS!$L66="Deferred",5,1)))),""))</f>
        <v/>
      </c>
      <c r="K66" s="58" t="str">
        <f>IF(OR(WBS!$F66="",WBS!$T66=""),"",IF(AND(6&gt;=WBS!$F66,6&lt;=WBS!$T66),IF(WBS!$L66="Done",3,IF(WBS!$L66="Doing",2,IF(WBS!$L66="Blocked",4,IF(WBS!$L66="Deferred",5,1)))),""))</f>
        <v/>
      </c>
      <c r="L66" s="58" t="str">
        <f>IF(OR(WBS!$F66="",WBS!$T66=""),"",IF(AND(7&gt;=WBS!$F66,7&lt;=WBS!$T66),IF(WBS!$L66="Done",3,IF(WBS!$L66="Doing",2,IF(WBS!$L66="Blocked",4,IF(WBS!$L66="Deferred",5,1)))),""))</f>
        <v/>
      </c>
      <c r="M66" s="58" t="str">
        <f>IF(OR(WBS!$F66="",WBS!$T66=""),"",IF(AND(8&gt;=WBS!$F66,8&lt;=WBS!$T66),IF(WBS!$L66="Done",3,IF(WBS!$L66="Doing",2,IF(WBS!$L66="Blocked",4,IF(WBS!$L66="Deferred",5,1)))),""))</f>
        <v/>
      </c>
      <c r="N66" s="58">
        <f>IF(OR(WBS!$F66="",WBS!$T66=""),"",IF(AND(9&gt;=WBS!$F66,9&lt;=WBS!$T66),IF(WBS!$L66="Done",3,IF(WBS!$L66="Doing",2,IF(WBS!$L66="Blocked",4,IF(WBS!$L66="Deferred",5,1)))),""))</f>
        <v>1</v>
      </c>
      <c r="O66" s="58" t="str">
        <f>IF(OR(WBS!$F66="",WBS!$T66=""),"",IF(AND(10&gt;=WBS!$F66,10&lt;=WBS!$T66),IF(WBS!$L66="Done",3,IF(WBS!$L66="Doing",2,IF(WBS!$L66="Blocked",4,IF(WBS!$L66="Deferred",5,1)))),""))</f>
        <v/>
      </c>
      <c r="P66" s="58" t="str">
        <f>IF(OR(WBS!$F66="",WBS!$T66=""),"",IF(AND(11&gt;=WBS!$F66,11&lt;=WBS!$T66),IF(WBS!$L66="Done",3,IF(WBS!$L66="Doing",2,IF(WBS!$L66="Blocked",4,IF(WBS!$L66="Deferred",5,1)))),""))</f>
        <v/>
      </c>
      <c r="Q66" s="58" t="str">
        <f>IF(OR(WBS!$F66="",WBS!$T66=""),"",IF(AND(12&gt;=WBS!$F66,12&lt;=WBS!$T66),IF(WBS!$L66="Done",3,IF(WBS!$L66="Doing",2,IF(WBS!$L66="Blocked",4,IF(WBS!$L66="Deferred",5,1)))),""))</f>
        <v/>
      </c>
      <c r="R66" s="58" t="str">
        <f>IF(OR(WBS!$F66="",WBS!$T66=""),"",IF(AND(13&gt;=WBS!$F66,13&lt;=WBS!$T66),IF(WBS!$L66="Done",3,IF(WBS!$L66="Doing",2,IF(WBS!$L66="Blocked",4,IF(WBS!$L66="Deferred",5,1)))),""))</f>
        <v/>
      </c>
      <c r="S66" s="58" t="str">
        <f>IF(OR(WBS!$F66="",WBS!$T66=""),"",IF(AND(14&gt;=WBS!$F66,14&lt;=WBS!$T66),IF(WBS!$L66="Done",3,IF(WBS!$L66="Doing",2,IF(WBS!$L66="Blocked",4,IF(WBS!$L66="Deferred",5,1)))),""))</f>
        <v/>
      </c>
      <c r="T66" s="58" t="str">
        <f>IF(OR(WBS!$F66="",WBS!$T66=""),"",IF(AND(15&gt;=WBS!$F66,15&lt;=WBS!$T66),IF(WBS!$L66="Done",3,IF(WBS!$L66="Doing",2,IF(WBS!$L66="Blocked",4,IF(WBS!$L66="Deferred",5,1)))),""))</f>
        <v/>
      </c>
      <c r="U66" s="58" t="str">
        <f>IF(OR(WBS!$F66="",WBS!$T66=""),"",IF(AND(16&gt;=WBS!$F66,16&lt;=WBS!$T66),IF(WBS!$L66="Done",3,IF(WBS!$L66="Doing",2,IF(WBS!$L66="Blocked",4,IF(WBS!$L66="Deferred",5,1)))),""))</f>
        <v/>
      </c>
      <c r="V66" s="58" t="str">
        <f>IF(OR(WBS!$F66="",WBS!$T66=""),"",IF(AND(17&gt;=WBS!$F66,17&lt;=WBS!$T66),IF(WBS!$L66="Done",3,IF(WBS!$L66="Doing",2,IF(WBS!$L66="Blocked",4,IF(WBS!$L66="Deferred",5,1)))),""))</f>
        <v/>
      </c>
      <c r="W66" s="58" t="str">
        <f>IF(OR(WBS!$F66="",WBS!$T66=""),"",IF(AND(18&gt;=WBS!$F66,18&lt;=WBS!$T66),IF(WBS!$L66="Done",3,IF(WBS!$L66="Doing",2,IF(WBS!$L66="Blocked",4,IF(WBS!$L66="Deferred",5,1)))),""))</f>
        <v/>
      </c>
      <c r="X66" s="58" t="str">
        <f>IF(OR(WBS!$F66="",WBS!$T66=""),"",IF(AND(19&gt;=WBS!$F66,19&lt;=WBS!$T66),IF(WBS!$L66="Done",3,IF(WBS!$L66="Doing",2,IF(WBS!$L66="Blocked",4,IF(WBS!$L66="Deferred",5,1)))),""))</f>
        <v/>
      </c>
      <c r="Y66" s="58" t="str">
        <f>IF(OR(WBS!$F66="",WBS!$T66=""),"",IF(AND(20&gt;=WBS!$F66,20&lt;=WBS!$T66),IF(WBS!$L66="Done",3,IF(WBS!$L66="Doing",2,IF(WBS!$L66="Blocked",4,IF(WBS!$L66="Deferred",5,1)))),""))</f>
        <v/>
      </c>
      <c r="Z66" s="58" t="str">
        <f>IF(OR(WBS!$F66="",WBS!$T66=""),"",IF(AND(21&gt;=WBS!$F66,21&lt;=WBS!$T66),IF(WBS!$L66="Done",3,IF(WBS!$L66="Doing",2,IF(WBS!$L66="Blocked",4,IF(WBS!$L66="Deferred",5,1)))),""))</f>
        <v/>
      </c>
    </row>
    <row r="67" spans="1:26" ht="26.4" x14ac:dyDescent="0.3">
      <c r="A67" s="64" t="str">
        <f>WBS!$A67</f>
        <v>4.4.1</v>
      </c>
      <c r="B67" s="65" t="str">
        <f>WBS!$C67</f>
        <v xml:space="preserve">        Disruptions module - publish, update, retract, scope, reason codes</v>
      </c>
      <c r="C67" s="66" t="str">
        <f>IF(WBS!$E67="","",WBS!$E67)</f>
        <v>BE</v>
      </c>
      <c r="D67" s="67">
        <f>WBS!$J67</f>
        <v>2.5</v>
      </c>
      <c r="E67" s="68">
        <f>WBS!$M67</f>
        <v>0</v>
      </c>
      <c r="F67" s="58" t="str">
        <f>IF(OR(WBS!$F67="",WBS!$T67=""),"",IF(AND(1&gt;=WBS!$F67,1&lt;=WBS!$T67),IF(WBS!$L67="Done",3,IF(WBS!$L67="Doing",2,IF(WBS!$L67="Blocked",4,IF(WBS!$L67="Deferred",5,1)))),""))</f>
        <v/>
      </c>
      <c r="G67" s="58" t="str">
        <f>IF(OR(WBS!$F67="",WBS!$T67=""),"",IF(AND(2&gt;=WBS!$F67,2&lt;=WBS!$T67),IF(WBS!$L67="Done",3,IF(WBS!$L67="Doing",2,IF(WBS!$L67="Blocked",4,IF(WBS!$L67="Deferred",5,1)))),""))</f>
        <v/>
      </c>
      <c r="H67" s="58" t="str">
        <f>IF(OR(WBS!$F67="",WBS!$T67=""),"",IF(AND(3&gt;=WBS!$F67,3&lt;=WBS!$T67),IF(WBS!$L67="Done",3,IF(WBS!$L67="Doing",2,IF(WBS!$L67="Blocked",4,IF(WBS!$L67="Deferred",5,1)))),""))</f>
        <v/>
      </c>
      <c r="I67" s="58" t="str">
        <f>IF(OR(WBS!$F67="",WBS!$T67=""),"",IF(AND(4&gt;=WBS!$F67,4&lt;=WBS!$T67),IF(WBS!$L67="Done",3,IF(WBS!$L67="Doing",2,IF(WBS!$L67="Blocked",4,IF(WBS!$L67="Deferred",5,1)))),""))</f>
        <v/>
      </c>
      <c r="J67" s="58" t="str">
        <f>IF(OR(WBS!$F67="",WBS!$T67=""),"",IF(AND(5&gt;=WBS!$F67,5&lt;=WBS!$T67),IF(WBS!$L67="Done",3,IF(WBS!$L67="Doing",2,IF(WBS!$L67="Blocked",4,IF(WBS!$L67="Deferred",5,1)))),""))</f>
        <v/>
      </c>
      <c r="K67" s="58" t="str">
        <f>IF(OR(WBS!$F67="",WBS!$T67=""),"",IF(AND(6&gt;=WBS!$F67,6&lt;=WBS!$T67),IF(WBS!$L67="Done",3,IF(WBS!$L67="Doing",2,IF(WBS!$L67="Blocked",4,IF(WBS!$L67="Deferred",5,1)))),""))</f>
        <v/>
      </c>
      <c r="L67" s="58" t="str">
        <f>IF(OR(WBS!$F67="",WBS!$T67=""),"",IF(AND(7&gt;=WBS!$F67,7&lt;=WBS!$T67),IF(WBS!$L67="Done",3,IF(WBS!$L67="Doing",2,IF(WBS!$L67="Blocked",4,IF(WBS!$L67="Deferred",5,1)))),""))</f>
        <v/>
      </c>
      <c r="M67" s="58" t="str">
        <f>IF(OR(WBS!$F67="",WBS!$T67=""),"",IF(AND(8&gt;=WBS!$F67,8&lt;=WBS!$T67),IF(WBS!$L67="Done",3,IF(WBS!$L67="Doing",2,IF(WBS!$L67="Blocked",4,IF(WBS!$L67="Deferred",5,1)))),""))</f>
        <v/>
      </c>
      <c r="N67" s="58">
        <f>IF(OR(WBS!$F67="",WBS!$T67=""),"",IF(AND(9&gt;=WBS!$F67,9&lt;=WBS!$T67),IF(WBS!$L67="Done",3,IF(WBS!$L67="Doing",2,IF(WBS!$L67="Blocked",4,IF(WBS!$L67="Deferred",5,1)))),""))</f>
        <v>1</v>
      </c>
      <c r="O67" s="58" t="str">
        <f>IF(OR(WBS!$F67="",WBS!$T67=""),"",IF(AND(10&gt;=WBS!$F67,10&lt;=WBS!$T67),IF(WBS!$L67="Done",3,IF(WBS!$L67="Doing",2,IF(WBS!$L67="Blocked",4,IF(WBS!$L67="Deferred",5,1)))),""))</f>
        <v/>
      </c>
      <c r="P67" s="58" t="str">
        <f>IF(OR(WBS!$F67="",WBS!$T67=""),"",IF(AND(11&gt;=WBS!$F67,11&lt;=WBS!$T67),IF(WBS!$L67="Done",3,IF(WBS!$L67="Doing",2,IF(WBS!$L67="Blocked",4,IF(WBS!$L67="Deferred",5,1)))),""))</f>
        <v/>
      </c>
      <c r="Q67" s="58" t="str">
        <f>IF(OR(WBS!$F67="",WBS!$T67=""),"",IF(AND(12&gt;=WBS!$F67,12&lt;=WBS!$T67),IF(WBS!$L67="Done",3,IF(WBS!$L67="Doing",2,IF(WBS!$L67="Blocked",4,IF(WBS!$L67="Deferred",5,1)))),""))</f>
        <v/>
      </c>
      <c r="R67" s="58" t="str">
        <f>IF(OR(WBS!$F67="",WBS!$T67=""),"",IF(AND(13&gt;=WBS!$F67,13&lt;=WBS!$T67),IF(WBS!$L67="Done",3,IF(WBS!$L67="Doing",2,IF(WBS!$L67="Blocked",4,IF(WBS!$L67="Deferred",5,1)))),""))</f>
        <v/>
      </c>
      <c r="S67" s="58" t="str">
        <f>IF(OR(WBS!$F67="",WBS!$T67=""),"",IF(AND(14&gt;=WBS!$F67,14&lt;=WBS!$T67),IF(WBS!$L67="Done",3,IF(WBS!$L67="Doing",2,IF(WBS!$L67="Blocked",4,IF(WBS!$L67="Deferred",5,1)))),""))</f>
        <v/>
      </c>
      <c r="T67" s="58" t="str">
        <f>IF(OR(WBS!$F67="",WBS!$T67=""),"",IF(AND(15&gt;=WBS!$F67,15&lt;=WBS!$T67),IF(WBS!$L67="Done",3,IF(WBS!$L67="Doing",2,IF(WBS!$L67="Blocked",4,IF(WBS!$L67="Deferred",5,1)))),""))</f>
        <v/>
      </c>
      <c r="U67" s="58" t="str">
        <f>IF(OR(WBS!$F67="",WBS!$T67=""),"",IF(AND(16&gt;=WBS!$F67,16&lt;=WBS!$T67),IF(WBS!$L67="Done",3,IF(WBS!$L67="Doing",2,IF(WBS!$L67="Blocked",4,IF(WBS!$L67="Deferred",5,1)))),""))</f>
        <v/>
      </c>
      <c r="V67" s="58" t="str">
        <f>IF(OR(WBS!$F67="",WBS!$T67=""),"",IF(AND(17&gt;=WBS!$F67,17&lt;=WBS!$T67),IF(WBS!$L67="Done",3,IF(WBS!$L67="Doing",2,IF(WBS!$L67="Blocked",4,IF(WBS!$L67="Deferred",5,1)))),""))</f>
        <v/>
      </c>
      <c r="W67" s="58" t="str">
        <f>IF(OR(WBS!$F67="",WBS!$T67=""),"",IF(AND(18&gt;=WBS!$F67,18&lt;=WBS!$T67),IF(WBS!$L67="Done",3,IF(WBS!$L67="Doing",2,IF(WBS!$L67="Blocked",4,IF(WBS!$L67="Deferred",5,1)))),""))</f>
        <v/>
      </c>
      <c r="X67" s="58" t="str">
        <f>IF(OR(WBS!$F67="",WBS!$T67=""),"",IF(AND(19&gt;=WBS!$F67,19&lt;=WBS!$T67),IF(WBS!$L67="Done",3,IF(WBS!$L67="Doing",2,IF(WBS!$L67="Blocked",4,IF(WBS!$L67="Deferred",5,1)))),""))</f>
        <v/>
      </c>
      <c r="Y67" s="58" t="str">
        <f>IF(OR(WBS!$F67="",WBS!$T67=""),"",IF(AND(20&gt;=WBS!$F67,20&lt;=WBS!$T67),IF(WBS!$L67="Done",3,IF(WBS!$L67="Doing",2,IF(WBS!$L67="Blocked",4,IF(WBS!$L67="Deferred",5,1)))),""))</f>
        <v/>
      </c>
      <c r="Z67" s="58" t="str">
        <f>IF(OR(WBS!$F67="",WBS!$T67=""),"",IF(AND(21&gt;=WBS!$F67,21&lt;=WBS!$T67),IF(WBS!$L67="Done",3,IF(WBS!$L67="Doing",2,IF(WBS!$L67="Blocked",4,IF(WBS!$L67="Deferred",5,1)))),""))</f>
        <v/>
      </c>
    </row>
    <row r="68" spans="1:26" x14ac:dyDescent="0.3">
      <c r="A68" s="64" t="str">
        <f>WBS!$A68</f>
        <v>4.4.2</v>
      </c>
      <c r="B68" s="65" t="str">
        <f>WBS!$C68</f>
        <v xml:space="preserve">        Append-only audit trail for high-consequence actions</v>
      </c>
      <c r="C68" s="66" t="str">
        <f>IF(WBS!$E68="","",WBS!$E68)</f>
        <v>SEC</v>
      </c>
      <c r="D68" s="67">
        <f>WBS!$J68</f>
        <v>1.5</v>
      </c>
      <c r="E68" s="68">
        <f>WBS!$M68</f>
        <v>0</v>
      </c>
      <c r="F68" s="58" t="str">
        <f>IF(OR(WBS!$F68="",WBS!$T68=""),"",IF(AND(1&gt;=WBS!$F68,1&lt;=WBS!$T68),IF(WBS!$L68="Done",3,IF(WBS!$L68="Doing",2,IF(WBS!$L68="Blocked",4,IF(WBS!$L68="Deferred",5,1)))),""))</f>
        <v/>
      </c>
      <c r="G68" s="58" t="str">
        <f>IF(OR(WBS!$F68="",WBS!$T68=""),"",IF(AND(2&gt;=WBS!$F68,2&lt;=WBS!$T68),IF(WBS!$L68="Done",3,IF(WBS!$L68="Doing",2,IF(WBS!$L68="Blocked",4,IF(WBS!$L68="Deferred",5,1)))),""))</f>
        <v/>
      </c>
      <c r="H68" s="58" t="str">
        <f>IF(OR(WBS!$F68="",WBS!$T68=""),"",IF(AND(3&gt;=WBS!$F68,3&lt;=WBS!$T68),IF(WBS!$L68="Done",3,IF(WBS!$L68="Doing",2,IF(WBS!$L68="Blocked",4,IF(WBS!$L68="Deferred",5,1)))),""))</f>
        <v/>
      </c>
      <c r="I68" s="58" t="str">
        <f>IF(OR(WBS!$F68="",WBS!$T68=""),"",IF(AND(4&gt;=WBS!$F68,4&lt;=WBS!$T68),IF(WBS!$L68="Done",3,IF(WBS!$L68="Doing",2,IF(WBS!$L68="Blocked",4,IF(WBS!$L68="Deferred",5,1)))),""))</f>
        <v/>
      </c>
      <c r="J68" s="58" t="str">
        <f>IF(OR(WBS!$F68="",WBS!$T68=""),"",IF(AND(5&gt;=WBS!$F68,5&lt;=WBS!$T68),IF(WBS!$L68="Done",3,IF(WBS!$L68="Doing",2,IF(WBS!$L68="Blocked",4,IF(WBS!$L68="Deferred",5,1)))),""))</f>
        <v/>
      </c>
      <c r="K68" s="58" t="str">
        <f>IF(OR(WBS!$F68="",WBS!$T68=""),"",IF(AND(6&gt;=WBS!$F68,6&lt;=WBS!$T68),IF(WBS!$L68="Done",3,IF(WBS!$L68="Doing",2,IF(WBS!$L68="Blocked",4,IF(WBS!$L68="Deferred",5,1)))),""))</f>
        <v/>
      </c>
      <c r="L68" s="58" t="str">
        <f>IF(OR(WBS!$F68="",WBS!$T68=""),"",IF(AND(7&gt;=WBS!$F68,7&lt;=WBS!$T68),IF(WBS!$L68="Done",3,IF(WBS!$L68="Doing",2,IF(WBS!$L68="Blocked",4,IF(WBS!$L68="Deferred",5,1)))),""))</f>
        <v/>
      </c>
      <c r="M68" s="58" t="str">
        <f>IF(OR(WBS!$F68="",WBS!$T68=""),"",IF(AND(8&gt;=WBS!$F68,8&lt;=WBS!$T68),IF(WBS!$L68="Done",3,IF(WBS!$L68="Doing",2,IF(WBS!$L68="Blocked",4,IF(WBS!$L68="Deferred",5,1)))),""))</f>
        <v/>
      </c>
      <c r="N68" s="58">
        <f>IF(OR(WBS!$F68="",WBS!$T68=""),"",IF(AND(9&gt;=WBS!$F68,9&lt;=WBS!$T68),IF(WBS!$L68="Done",3,IF(WBS!$L68="Doing",2,IF(WBS!$L68="Blocked",4,IF(WBS!$L68="Deferred",5,1)))),""))</f>
        <v>1</v>
      </c>
      <c r="O68" s="58" t="str">
        <f>IF(OR(WBS!$F68="",WBS!$T68=""),"",IF(AND(10&gt;=WBS!$F68,10&lt;=WBS!$T68),IF(WBS!$L68="Done",3,IF(WBS!$L68="Doing",2,IF(WBS!$L68="Blocked",4,IF(WBS!$L68="Deferred",5,1)))),""))</f>
        <v/>
      </c>
      <c r="P68" s="58" t="str">
        <f>IF(OR(WBS!$F68="",WBS!$T68=""),"",IF(AND(11&gt;=WBS!$F68,11&lt;=WBS!$T68),IF(WBS!$L68="Done",3,IF(WBS!$L68="Doing",2,IF(WBS!$L68="Blocked",4,IF(WBS!$L68="Deferred",5,1)))),""))</f>
        <v/>
      </c>
      <c r="Q68" s="58" t="str">
        <f>IF(OR(WBS!$F68="",WBS!$T68=""),"",IF(AND(12&gt;=WBS!$F68,12&lt;=WBS!$T68),IF(WBS!$L68="Done",3,IF(WBS!$L68="Doing",2,IF(WBS!$L68="Blocked",4,IF(WBS!$L68="Deferred",5,1)))),""))</f>
        <v/>
      </c>
      <c r="R68" s="58" t="str">
        <f>IF(OR(WBS!$F68="",WBS!$T68=""),"",IF(AND(13&gt;=WBS!$F68,13&lt;=WBS!$T68),IF(WBS!$L68="Done",3,IF(WBS!$L68="Doing",2,IF(WBS!$L68="Blocked",4,IF(WBS!$L68="Deferred",5,1)))),""))</f>
        <v/>
      </c>
      <c r="S68" s="58" t="str">
        <f>IF(OR(WBS!$F68="",WBS!$T68=""),"",IF(AND(14&gt;=WBS!$F68,14&lt;=WBS!$T68),IF(WBS!$L68="Done",3,IF(WBS!$L68="Doing",2,IF(WBS!$L68="Blocked",4,IF(WBS!$L68="Deferred",5,1)))),""))</f>
        <v/>
      </c>
      <c r="T68" s="58" t="str">
        <f>IF(OR(WBS!$F68="",WBS!$T68=""),"",IF(AND(15&gt;=WBS!$F68,15&lt;=WBS!$T68),IF(WBS!$L68="Done",3,IF(WBS!$L68="Doing",2,IF(WBS!$L68="Blocked",4,IF(WBS!$L68="Deferred",5,1)))),""))</f>
        <v/>
      </c>
      <c r="U68" s="58" t="str">
        <f>IF(OR(WBS!$F68="",WBS!$T68=""),"",IF(AND(16&gt;=WBS!$F68,16&lt;=WBS!$T68),IF(WBS!$L68="Done",3,IF(WBS!$L68="Doing",2,IF(WBS!$L68="Blocked",4,IF(WBS!$L68="Deferred",5,1)))),""))</f>
        <v/>
      </c>
      <c r="V68" s="58" t="str">
        <f>IF(OR(WBS!$F68="",WBS!$T68=""),"",IF(AND(17&gt;=WBS!$F68,17&lt;=WBS!$T68),IF(WBS!$L68="Done",3,IF(WBS!$L68="Doing",2,IF(WBS!$L68="Blocked",4,IF(WBS!$L68="Deferred",5,1)))),""))</f>
        <v/>
      </c>
      <c r="W68" s="58" t="str">
        <f>IF(OR(WBS!$F68="",WBS!$T68=""),"",IF(AND(18&gt;=WBS!$F68,18&lt;=WBS!$T68),IF(WBS!$L68="Done",3,IF(WBS!$L68="Doing",2,IF(WBS!$L68="Blocked",4,IF(WBS!$L68="Deferred",5,1)))),""))</f>
        <v/>
      </c>
      <c r="X68" s="58" t="str">
        <f>IF(OR(WBS!$F68="",WBS!$T68=""),"",IF(AND(19&gt;=WBS!$F68,19&lt;=WBS!$T68),IF(WBS!$L68="Done",3,IF(WBS!$L68="Doing",2,IF(WBS!$L68="Blocked",4,IF(WBS!$L68="Deferred",5,1)))),""))</f>
        <v/>
      </c>
      <c r="Y68" s="58" t="str">
        <f>IF(OR(WBS!$F68="",WBS!$T68=""),"",IF(AND(20&gt;=WBS!$F68,20&lt;=WBS!$T68),IF(WBS!$L68="Done",3,IF(WBS!$L68="Doing",2,IF(WBS!$L68="Blocked",4,IF(WBS!$L68="Deferred",5,1)))),""))</f>
        <v/>
      </c>
      <c r="Z68" s="58" t="str">
        <f>IF(OR(WBS!$F68="",WBS!$T68=""),"",IF(AND(21&gt;=WBS!$F68,21&lt;=WBS!$T68),IF(WBS!$L68="Done",3,IF(WBS!$L68="Doing",2,IF(WBS!$L68="Blocked",4,IF(WBS!$L68="Deferred",5,1)))),""))</f>
        <v/>
      </c>
    </row>
    <row r="69" spans="1:26" x14ac:dyDescent="0.3">
      <c r="A69" s="59" t="str">
        <f>WBS!$A69</f>
        <v>4.5</v>
      </c>
      <c r="B69" s="60" t="str">
        <f>WBS!$C69</f>
        <v xml:space="preserve">    Test instrumentation</v>
      </c>
      <c r="C69" s="61" t="str">
        <f>IF(WBS!$E69="","",WBS!$E69)</f>
        <v/>
      </c>
      <c r="D69" s="62">
        <f>WBS!$J69</f>
        <v>1</v>
      </c>
      <c r="E69" s="63">
        <f>WBS!$M69</f>
        <v>0</v>
      </c>
      <c r="F69" s="58" t="str">
        <f>IF(OR(WBS!$F69="",WBS!$T69=""),"",IF(AND(1&gt;=WBS!$F69,1&lt;=WBS!$T69),IF(WBS!$L69="Done",3,IF(WBS!$L69="Doing",2,IF(WBS!$L69="Blocked",4,IF(WBS!$L69="Deferred",5,1)))),""))</f>
        <v/>
      </c>
      <c r="G69" s="58" t="str">
        <f>IF(OR(WBS!$F69="",WBS!$T69=""),"",IF(AND(2&gt;=WBS!$F69,2&lt;=WBS!$T69),IF(WBS!$L69="Done",3,IF(WBS!$L69="Doing",2,IF(WBS!$L69="Blocked",4,IF(WBS!$L69="Deferred",5,1)))),""))</f>
        <v/>
      </c>
      <c r="H69" s="58" t="str">
        <f>IF(OR(WBS!$F69="",WBS!$T69=""),"",IF(AND(3&gt;=WBS!$F69,3&lt;=WBS!$T69),IF(WBS!$L69="Done",3,IF(WBS!$L69="Doing",2,IF(WBS!$L69="Blocked",4,IF(WBS!$L69="Deferred",5,1)))),""))</f>
        <v/>
      </c>
      <c r="I69" s="58" t="str">
        <f>IF(OR(WBS!$F69="",WBS!$T69=""),"",IF(AND(4&gt;=WBS!$F69,4&lt;=WBS!$T69),IF(WBS!$L69="Done",3,IF(WBS!$L69="Doing",2,IF(WBS!$L69="Blocked",4,IF(WBS!$L69="Deferred",5,1)))),""))</f>
        <v/>
      </c>
      <c r="J69" s="58" t="str">
        <f>IF(OR(WBS!$F69="",WBS!$T69=""),"",IF(AND(5&gt;=WBS!$F69,5&lt;=WBS!$T69),IF(WBS!$L69="Done",3,IF(WBS!$L69="Doing",2,IF(WBS!$L69="Blocked",4,IF(WBS!$L69="Deferred",5,1)))),""))</f>
        <v/>
      </c>
      <c r="K69" s="58" t="str">
        <f>IF(OR(WBS!$F69="",WBS!$T69=""),"",IF(AND(6&gt;=WBS!$F69,6&lt;=WBS!$T69),IF(WBS!$L69="Done",3,IF(WBS!$L69="Doing",2,IF(WBS!$L69="Blocked",4,IF(WBS!$L69="Deferred",5,1)))),""))</f>
        <v/>
      </c>
      <c r="L69" s="58" t="str">
        <f>IF(OR(WBS!$F69="",WBS!$T69=""),"",IF(AND(7&gt;=WBS!$F69,7&lt;=WBS!$T69),IF(WBS!$L69="Done",3,IF(WBS!$L69="Doing",2,IF(WBS!$L69="Blocked",4,IF(WBS!$L69="Deferred",5,1)))),""))</f>
        <v/>
      </c>
      <c r="M69" s="58">
        <f>IF(OR(WBS!$F69="",WBS!$T69=""),"",IF(AND(8&gt;=WBS!$F69,8&lt;=WBS!$T69),IF(WBS!$L69="Done",3,IF(WBS!$L69="Doing",2,IF(WBS!$L69="Blocked",4,IF(WBS!$L69="Deferred",5,1)))),""))</f>
        <v>1</v>
      </c>
      <c r="N69" s="58" t="str">
        <f>IF(OR(WBS!$F69="",WBS!$T69=""),"",IF(AND(9&gt;=WBS!$F69,9&lt;=WBS!$T69),IF(WBS!$L69="Done",3,IF(WBS!$L69="Doing",2,IF(WBS!$L69="Blocked",4,IF(WBS!$L69="Deferred",5,1)))),""))</f>
        <v/>
      </c>
      <c r="O69" s="58" t="str">
        <f>IF(OR(WBS!$F69="",WBS!$T69=""),"",IF(AND(10&gt;=WBS!$F69,10&lt;=WBS!$T69),IF(WBS!$L69="Done",3,IF(WBS!$L69="Doing",2,IF(WBS!$L69="Blocked",4,IF(WBS!$L69="Deferred",5,1)))),""))</f>
        <v/>
      </c>
      <c r="P69" s="58" t="str">
        <f>IF(OR(WBS!$F69="",WBS!$T69=""),"",IF(AND(11&gt;=WBS!$F69,11&lt;=WBS!$T69),IF(WBS!$L69="Done",3,IF(WBS!$L69="Doing",2,IF(WBS!$L69="Blocked",4,IF(WBS!$L69="Deferred",5,1)))),""))</f>
        <v/>
      </c>
      <c r="Q69" s="58" t="str">
        <f>IF(OR(WBS!$F69="",WBS!$T69=""),"",IF(AND(12&gt;=WBS!$F69,12&lt;=WBS!$T69),IF(WBS!$L69="Done",3,IF(WBS!$L69="Doing",2,IF(WBS!$L69="Blocked",4,IF(WBS!$L69="Deferred",5,1)))),""))</f>
        <v/>
      </c>
      <c r="R69" s="58" t="str">
        <f>IF(OR(WBS!$F69="",WBS!$T69=""),"",IF(AND(13&gt;=WBS!$F69,13&lt;=WBS!$T69),IF(WBS!$L69="Done",3,IF(WBS!$L69="Doing",2,IF(WBS!$L69="Blocked",4,IF(WBS!$L69="Deferred",5,1)))),""))</f>
        <v/>
      </c>
      <c r="S69" s="58" t="str">
        <f>IF(OR(WBS!$F69="",WBS!$T69=""),"",IF(AND(14&gt;=WBS!$F69,14&lt;=WBS!$T69),IF(WBS!$L69="Done",3,IF(WBS!$L69="Doing",2,IF(WBS!$L69="Blocked",4,IF(WBS!$L69="Deferred",5,1)))),""))</f>
        <v/>
      </c>
      <c r="T69" s="58" t="str">
        <f>IF(OR(WBS!$F69="",WBS!$T69=""),"",IF(AND(15&gt;=WBS!$F69,15&lt;=WBS!$T69),IF(WBS!$L69="Done",3,IF(WBS!$L69="Doing",2,IF(WBS!$L69="Blocked",4,IF(WBS!$L69="Deferred",5,1)))),""))</f>
        <v/>
      </c>
      <c r="U69" s="58" t="str">
        <f>IF(OR(WBS!$F69="",WBS!$T69=""),"",IF(AND(16&gt;=WBS!$F69,16&lt;=WBS!$T69),IF(WBS!$L69="Done",3,IF(WBS!$L69="Doing",2,IF(WBS!$L69="Blocked",4,IF(WBS!$L69="Deferred",5,1)))),""))</f>
        <v/>
      </c>
      <c r="V69" s="58" t="str">
        <f>IF(OR(WBS!$F69="",WBS!$T69=""),"",IF(AND(17&gt;=WBS!$F69,17&lt;=WBS!$T69),IF(WBS!$L69="Done",3,IF(WBS!$L69="Doing",2,IF(WBS!$L69="Blocked",4,IF(WBS!$L69="Deferred",5,1)))),""))</f>
        <v/>
      </c>
      <c r="W69" s="58" t="str">
        <f>IF(OR(WBS!$F69="",WBS!$T69=""),"",IF(AND(18&gt;=WBS!$F69,18&lt;=WBS!$T69),IF(WBS!$L69="Done",3,IF(WBS!$L69="Doing",2,IF(WBS!$L69="Blocked",4,IF(WBS!$L69="Deferred",5,1)))),""))</f>
        <v/>
      </c>
      <c r="X69" s="58" t="str">
        <f>IF(OR(WBS!$F69="",WBS!$T69=""),"",IF(AND(19&gt;=WBS!$F69,19&lt;=WBS!$T69),IF(WBS!$L69="Done",3,IF(WBS!$L69="Doing",2,IF(WBS!$L69="Blocked",4,IF(WBS!$L69="Deferred",5,1)))),""))</f>
        <v/>
      </c>
      <c r="Y69" s="58" t="str">
        <f>IF(OR(WBS!$F69="",WBS!$T69=""),"",IF(AND(20&gt;=WBS!$F69,20&lt;=WBS!$T69),IF(WBS!$L69="Done",3,IF(WBS!$L69="Doing",2,IF(WBS!$L69="Blocked",4,IF(WBS!$L69="Deferred",5,1)))),""))</f>
        <v/>
      </c>
      <c r="Z69" s="58" t="str">
        <f>IF(OR(WBS!$F69="",WBS!$T69=""),"",IF(AND(21&gt;=WBS!$F69,21&lt;=WBS!$T69),IF(WBS!$L69="Done",3,IF(WBS!$L69="Doing",2,IF(WBS!$L69="Blocked",4,IF(WBS!$L69="Deferred",5,1)))),""))</f>
        <v/>
      </c>
    </row>
    <row r="70" spans="1:26" x14ac:dyDescent="0.3">
      <c r="A70" s="64" t="str">
        <f>WBS!$A70</f>
        <v>4.5.1</v>
      </c>
      <c r="B70" s="65" t="str">
        <f>WBS!$C70</f>
        <v xml:space="preserve">        Journey simulator with six seeded scenarios</v>
      </c>
      <c r="C70" s="66" t="str">
        <f>IF(WBS!$E70="","",WBS!$E70)</f>
        <v>QA</v>
      </c>
      <c r="D70" s="67">
        <f>WBS!$J70</f>
        <v>1</v>
      </c>
      <c r="E70" s="68">
        <f>WBS!$M70</f>
        <v>0</v>
      </c>
      <c r="F70" s="58" t="str">
        <f>IF(OR(WBS!$F70="",WBS!$T70=""),"",IF(AND(1&gt;=WBS!$F70,1&lt;=WBS!$T70),IF(WBS!$L70="Done",3,IF(WBS!$L70="Doing",2,IF(WBS!$L70="Blocked",4,IF(WBS!$L70="Deferred",5,1)))),""))</f>
        <v/>
      </c>
      <c r="G70" s="58" t="str">
        <f>IF(OR(WBS!$F70="",WBS!$T70=""),"",IF(AND(2&gt;=WBS!$F70,2&lt;=WBS!$T70),IF(WBS!$L70="Done",3,IF(WBS!$L70="Doing",2,IF(WBS!$L70="Blocked",4,IF(WBS!$L70="Deferred",5,1)))),""))</f>
        <v/>
      </c>
      <c r="H70" s="58" t="str">
        <f>IF(OR(WBS!$F70="",WBS!$T70=""),"",IF(AND(3&gt;=WBS!$F70,3&lt;=WBS!$T70),IF(WBS!$L70="Done",3,IF(WBS!$L70="Doing",2,IF(WBS!$L70="Blocked",4,IF(WBS!$L70="Deferred",5,1)))),""))</f>
        <v/>
      </c>
      <c r="I70" s="58" t="str">
        <f>IF(OR(WBS!$F70="",WBS!$T70=""),"",IF(AND(4&gt;=WBS!$F70,4&lt;=WBS!$T70),IF(WBS!$L70="Done",3,IF(WBS!$L70="Doing",2,IF(WBS!$L70="Blocked",4,IF(WBS!$L70="Deferred",5,1)))),""))</f>
        <v/>
      </c>
      <c r="J70" s="58" t="str">
        <f>IF(OR(WBS!$F70="",WBS!$T70=""),"",IF(AND(5&gt;=WBS!$F70,5&lt;=WBS!$T70),IF(WBS!$L70="Done",3,IF(WBS!$L70="Doing",2,IF(WBS!$L70="Blocked",4,IF(WBS!$L70="Deferred",5,1)))),""))</f>
        <v/>
      </c>
      <c r="K70" s="58" t="str">
        <f>IF(OR(WBS!$F70="",WBS!$T70=""),"",IF(AND(6&gt;=WBS!$F70,6&lt;=WBS!$T70),IF(WBS!$L70="Done",3,IF(WBS!$L70="Doing",2,IF(WBS!$L70="Blocked",4,IF(WBS!$L70="Deferred",5,1)))),""))</f>
        <v/>
      </c>
      <c r="L70" s="58" t="str">
        <f>IF(OR(WBS!$F70="",WBS!$T70=""),"",IF(AND(7&gt;=WBS!$F70,7&lt;=WBS!$T70),IF(WBS!$L70="Done",3,IF(WBS!$L70="Doing",2,IF(WBS!$L70="Blocked",4,IF(WBS!$L70="Deferred",5,1)))),""))</f>
        <v/>
      </c>
      <c r="M70" s="58">
        <f>IF(OR(WBS!$F70="",WBS!$T70=""),"",IF(AND(8&gt;=WBS!$F70,8&lt;=WBS!$T70),IF(WBS!$L70="Done",3,IF(WBS!$L70="Doing",2,IF(WBS!$L70="Blocked",4,IF(WBS!$L70="Deferred",5,1)))),""))</f>
        <v>1</v>
      </c>
      <c r="N70" s="58" t="str">
        <f>IF(OR(WBS!$F70="",WBS!$T70=""),"",IF(AND(9&gt;=WBS!$F70,9&lt;=WBS!$T70),IF(WBS!$L70="Done",3,IF(WBS!$L70="Doing",2,IF(WBS!$L70="Blocked",4,IF(WBS!$L70="Deferred",5,1)))),""))</f>
        <v/>
      </c>
      <c r="O70" s="58" t="str">
        <f>IF(OR(WBS!$F70="",WBS!$T70=""),"",IF(AND(10&gt;=WBS!$F70,10&lt;=WBS!$T70),IF(WBS!$L70="Done",3,IF(WBS!$L70="Doing",2,IF(WBS!$L70="Blocked",4,IF(WBS!$L70="Deferred",5,1)))),""))</f>
        <v/>
      </c>
      <c r="P70" s="58" t="str">
        <f>IF(OR(WBS!$F70="",WBS!$T70=""),"",IF(AND(11&gt;=WBS!$F70,11&lt;=WBS!$T70),IF(WBS!$L70="Done",3,IF(WBS!$L70="Doing",2,IF(WBS!$L70="Blocked",4,IF(WBS!$L70="Deferred",5,1)))),""))</f>
        <v/>
      </c>
      <c r="Q70" s="58" t="str">
        <f>IF(OR(WBS!$F70="",WBS!$T70=""),"",IF(AND(12&gt;=WBS!$F70,12&lt;=WBS!$T70),IF(WBS!$L70="Done",3,IF(WBS!$L70="Doing",2,IF(WBS!$L70="Blocked",4,IF(WBS!$L70="Deferred",5,1)))),""))</f>
        <v/>
      </c>
      <c r="R70" s="58" t="str">
        <f>IF(OR(WBS!$F70="",WBS!$T70=""),"",IF(AND(13&gt;=WBS!$F70,13&lt;=WBS!$T70),IF(WBS!$L70="Done",3,IF(WBS!$L70="Doing",2,IF(WBS!$L70="Blocked",4,IF(WBS!$L70="Deferred",5,1)))),""))</f>
        <v/>
      </c>
      <c r="S70" s="58" t="str">
        <f>IF(OR(WBS!$F70="",WBS!$T70=""),"",IF(AND(14&gt;=WBS!$F70,14&lt;=WBS!$T70),IF(WBS!$L70="Done",3,IF(WBS!$L70="Doing",2,IF(WBS!$L70="Blocked",4,IF(WBS!$L70="Deferred",5,1)))),""))</f>
        <v/>
      </c>
      <c r="T70" s="58" t="str">
        <f>IF(OR(WBS!$F70="",WBS!$T70=""),"",IF(AND(15&gt;=WBS!$F70,15&lt;=WBS!$T70),IF(WBS!$L70="Done",3,IF(WBS!$L70="Doing",2,IF(WBS!$L70="Blocked",4,IF(WBS!$L70="Deferred",5,1)))),""))</f>
        <v/>
      </c>
      <c r="U70" s="58" t="str">
        <f>IF(OR(WBS!$F70="",WBS!$T70=""),"",IF(AND(16&gt;=WBS!$F70,16&lt;=WBS!$T70),IF(WBS!$L70="Done",3,IF(WBS!$L70="Doing",2,IF(WBS!$L70="Blocked",4,IF(WBS!$L70="Deferred",5,1)))),""))</f>
        <v/>
      </c>
      <c r="V70" s="58" t="str">
        <f>IF(OR(WBS!$F70="",WBS!$T70=""),"",IF(AND(17&gt;=WBS!$F70,17&lt;=WBS!$T70),IF(WBS!$L70="Done",3,IF(WBS!$L70="Doing",2,IF(WBS!$L70="Blocked",4,IF(WBS!$L70="Deferred",5,1)))),""))</f>
        <v/>
      </c>
      <c r="W70" s="58" t="str">
        <f>IF(OR(WBS!$F70="",WBS!$T70=""),"",IF(AND(18&gt;=WBS!$F70,18&lt;=WBS!$T70),IF(WBS!$L70="Done",3,IF(WBS!$L70="Doing",2,IF(WBS!$L70="Blocked",4,IF(WBS!$L70="Deferred",5,1)))),""))</f>
        <v/>
      </c>
      <c r="X70" s="58" t="str">
        <f>IF(OR(WBS!$F70="",WBS!$T70=""),"",IF(AND(19&gt;=WBS!$F70,19&lt;=WBS!$T70),IF(WBS!$L70="Done",3,IF(WBS!$L70="Doing",2,IF(WBS!$L70="Blocked",4,IF(WBS!$L70="Deferred",5,1)))),""))</f>
        <v/>
      </c>
      <c r="Y70" s="58" t="str">
        <f>IF(OR(WBS!$F70="",WBS!$T70=""),"",IF(AND(20&gt;=WBS!$F70,20&lt;=WBS!$T70),IF(WBS!$L70="Done",3,IF(WBS!$L70="Doing",2,IF(WBS!$L70="Blocked",4,IF(WBS!$L70="Deferred",5,1)))),""))</f>
        <v/>
      </c>
      <c r="Z70" s="58" t="str">
        <f>IF(OR(WBS!$F70="",WBS!$T70=""),"",IF(AND(21&gt;=WBS!$F70,21&lt;=WBS!$T70),IF(WBS!$L70="Done",3,IF(WBS!$L70="Doing",2,IF(WBS!$L70="Blocked",4,IF(WBS!$L70="Deferred",5,1)))),""))</f>
        <v/>
      </c>
    </row>
    <row r="71" spans="1:26" x14ac:dyDescent="0.3">
      <c r="A71" s="53" t="str">
        <f>WBS!$A71</f>
        <v>5</v>
      </c>
      <c r="B71" s="54" t="str">
        <f>WBS!$C71</f>
        <v>Client Applications</v>
      </c>
      <c r="C71" s="55" t="str">
        <f>IF(WBS!$E71="","",WBS!$E71)</f>
        <v/>
      </c>
      <c r="D71" s="56">
        <f>WBS!$J71</f>
        <v>32</v>
      </c>
      <c r="E71" s="57">
        <f>WBS!$M71</f>
        <v>0</v>
      </c>
      <c r="F71" s="58" t="str">
        <f>IF(OR(WBS!$F71="",WBS!$T71=""),"",IF(AND(1&gt;=WBS!$F71,1&lt;=WBS!$T71),IF(WBS!$L71="Done",3,IF(WBS!$L71="Doing",2,IF(WBS!$L71="Blocked",4,IF(WBS!$L71="Deferred",5,1)))),""))</f>
        <v/>
      </c>
      <c r="G71" s="58" t="str">
        <f>IF(OR(WBS!$F71="",WBS!$T71=""),"",IF(AND(2&gt;=WBS!$F71,2&lt;=WBS!$T71),IF(WBS!$L71="Done",3,IF(WBS!$L71="Doing",2,IF(WBS!$L71="Blocked",4,IF(WBS!$L71="Deferred",5,1)))),""))</f>
        <v/>
      </c>
      <c r="H71" s="58" t="str">
        <f>IF(OR(WBS!$F71="",WBS!$T71=""),"",IF(AND(3&gt;=WBS!$F71,3&lt;=WBS!$T71),IF(WBS!$L71="Done",3,IF(WBS!$L71="Doing",2,IF(WBS!$L71="Blocked",4,IF(WBS!$L71="Deferred",5,1)))),""))</f>
        <v/>
      </c>
      <c r="I71" s="58" t="str">
        <f>IF(OR(WBS!$F71="",WBS!$T71=""),"",IF(AND(4&gt;=WBS!$F71,4&lt;=WBS!$T71),IF(WBS!$L71="Done",3,IF(WBS!$L71="Doing",2,IF(WBS!$L71="Blocked",4,IF(WBS!$L71="Deferred",5,1)))),""))</f>
        <v/>
      </c>
      <c r="J71" s="58" t="str">
        <f>IF(OR(WBS!$F71="",WBS!$T71=""),"",IF(AND(5&gt;=WBS!$F71,5&lt;=WBS!$T71),IF(WBS!$L71="Done",3,IF(WBS!$L71="Doing",2,IF(WBS!$L71="Blocked",4,IF(WBS!$L71="Deferred",5,1)))),""))</f>
        <v/>
      </c>
      <c r="K71" s="58" t="str">
        <f>IF(OR(WBS!$F71="",WBS!$T71=""),"",IF(AND(6&gt;=WBS!$F71,6&lt;=WBS!$T71),IF(WBS!$L71="Done",3,IF(WBS!$L71="Doing",2,IF(WBS!$L71="Blocked",4,IF(WBS!$L71="Deferred",5,1)))),""))</f>
        <v/>
      </c>
      <c r="L71" s="58" t="str">
        <f>IF(OR(WBS!$F71="",WBS!$T71=""),"",IF(AND(7&gt;=WBS!$F71,7&lt;=WBS!$T71),IF(WBS!$L71="Done",3,IF(WBS!$L71="Doing",2,IF(WBS!$L71="Blocked",4,IF(WBS!$L71="Deferred",5,1)))),""))</f>
        <v/>
      </c>
      <c r="M71" s="58" t="str">
        <f>IF(OR(WBS!$F71="",WBS!$T71=""),"",IF(AND(8&gt;=WBS!$F71,8&lt;=WBS!$T71),IF(WBS!$L71="Done",3,IF(WBS!$L71="Doing",2,IF(WBS!$L71="Blocked",4,IF(WBS!$L71="Deferred",5,1)))),""))</f>
        <v/>
      </c>
      <c r="N71" s="58" t="str">
        <f>IF(OR(WBS!$F71="",WBS!$T71=""),"",IF(AND(9&gt;=WBS!$F71,9&lt;=WBS!$T71),IF(WBS!$L71="Done",3,IF(WBS!$L71="Doing",2,IF(WBS!$L71="Blocked",4,IF(WBS!$L71="Deferred",5,1)))),""))</f>
        <v/>
      </c>
      <c r="O71" s="58">
        <f>IF(OR(WBS!$F71="",WBS!$T71=""),"",IF(AND(10&gt;=WBS!$F71,10&lt;=WBS!$T71),IF(WBS!$L71="Done",3,IF(WBS!$L71="Doing",2,IF(WBS!$L71="Blocked",4,IF(WBS!$L71="Deferred",5,1)))),""))</f>
        <v>1</v>
      </c>
      <c r="P71" s="58">
        <f>IF(OR(WBS!$F71="",WBS!$T71=""),"",IF(AND(11&gt;=WBS!$F71,11&lt;=WBS!$T71),IF(WBS!$L71="Done",3,IF(WBS!$L71="Doing",2,IF(WBS!$L71="Blocked",4,IF(WBS!$L71="Deferred",5,1)))),""))</f>
        <v>1</v>
      </c>
      <c r="Q71" s="58">
        <f>IF(OR(WBS!$F71="",WBS!$T71=""),"",IF(AND(12&gt;=WBS!$F71,12&lt;=WBS!$T71),IF(WBS!$L71="Done",3,IF(WBS!$L71="Doing",2,IF(WBS!$L71="Blocked",4,IF(WBS!$L71="Deferred",5,1)))),""))</f>
        <v>1</v>
      </c>
      <c r="R71" s="58">
        <f>IF(OR(WBS!$F71="",WBS!$T71=""),"",IF(AND(13&gt;=WBS!$F71,13&lt;=WBS!$T71),IF(WBS!$L71="Done",3,IF(WBS!$L71="Doing",2,IF(WBS!$L71="Blocked",4,IF(WBS!$L71="Deferred",5,1)))),""))</f>
        <v>1</v>
      </c>
      <c r="S71" s="58" t="str">
        <f>IF(OR(WBS!$F71="",WBS!$T71=""),"",IF(AND(14&gt;=WBS!$F71,14&lt;=WBS!$T71),IF(WBS!$L71="Done",3,IF(WBS!$L71="Doing",2,IF(WBS!$L71="Blocked",4,IF(WBS!$L71="Deferred",5,1)))),""))</f>
        <v/>
      </c>
      <c r="T71" s="58" t="str">
        <f>IF(OR(WBS!$F71="",WBS!$T71=""),"",IF(AND(15&gt;=WBS!$F71,15&lt;=WBS!$T71),IF(WBS!$L71="Done",3,IF(WBS!$L71="Doing",2,IF(WBS!$L71="Blocked",4,IF(WBS!$L71="Deferred",5,1)))),""))</f>
        <v/>
      </c>
      <c r="U71" s="58" t="str">
        <f>IF(OR(WBS!$F71="",WBS!$T71=""),"",IF(AND(16&gt;=WBS!$F71,16&lt;=WBS!$T71),IF(WBS!$L71="Done",3,IF(WBS!$L71="Doing",2,IF(WBS!$L71="Blocked",4,IF(WBS!$L71="Deferred",5,1)))),""))</f>
        <v/>
      </c>
      <c r="V71" s="58" t="str">
        <f>IF(OR(WBS!$F71="",WBS!$T71=""),"",IF(AND(17&gt;=WBS!$F71,17&lt;=WBS!$T71),IF(WBS!$L71="Done",3,IF(WBS!$L71="Doing",2,IF(WBS!$L71="Blocked",4,IF(WBS!$L71="Deferred",5,1)))),""))</f>
        <v/>
      </c>
      <c r="W71" s="58" t="str">
        <f>IF(OR(WBS!$F71="",WBS!$T71=""),"",IF(AND(18&gt;=WBS!$F71,18&lt;=WBS!$T71),IF(WBS!$L71="Done",3,IF(WBS!$L71="Doing",2,IF(WBS!$L71="Blocked",4,IF(WBS!$L71="Deferred",5,1)))),""))</f>
        <v/>
      </c>
      <c r="X71" s="58" t="str">
        <f>IF(OR(WBS!$F71="",WBS!$T71=""),"",IF(AND(19&gt;=WBS!$F71,19&lt;=WBS!$T71),IF(WBS!$L71="Done",3,IF(WBS!$L71="Doing",2,IF(WBS!$L71="Blocked",4,IF(WBS!$L71="Deferred",5,1)))),""))</f>
        <v/>
      </c>
      <c r="Y71" s="58" t="str">
        <f>IF(OR(WBS!$F71="",WBS!$T71=""),"",IF(AND(20&gt;=WBS!$F71,20&lt;=WBS!$T71),IF(WBS!$L71="Done",3,IF(WBS!$L71="Doing",2,IF(WBS!$L71="Blocked",4,IF(WBS!$L71="Deferred",5,1)))),""))</f>
        <v/>
      </c>
      <c r="Z71" s="58" t="str">
        <f>IF(OR(WBS!$F71="",WBS!$T71=""),"",IF(AND(21&gt;=WBS!$F71,21&lt;=WBS!$T71),IF(WBS!$L71="Done",3,IF(WBS!$L71="Doing",2,IF(WBS!$L71="Blocked",4,IF(WBS!$L71="Deferred",5,1)))),""))</f>
        <v/>
      </c>
    </row>
    <row r="72" spans="1:26" x14ac:dyDescent="0.3">
      <c r="A72" s="59" t="str">
        <f>WBS!$A72</f>
        <v>5.1</v>
      </c>
      <c r="B72" s="60" t="str">
        <f>WBS!$C72</f>
        <v xml:space="preserve">    Ops console core</v>
      </c>
      <c r="C72" s="61" t="str">
        <f>IF(WBS!$E72="","",WBS!$E72)</f>
        <v/>
      </c>
      <c r="D72" s="62">
        <f>WBS!$J72</f>
        <v>8</v>
      </c>
      <c r="E72" s="63">
        <f>WBS!$M72</f>
        <v>0</v>
      </c>
      <c r="F72" s="58" t="str">
        <f>IF(OR(WBS!$F72="",WBS!$T72=""),"",IF(AND(1&gt;=WBS!$F72,1&lt;=WBS!$T72),IF(WBS!$L72="Done",3,IF(WBS!$L72="Doing",2,IF(WBS!$L72="Blocked",4,IF(WBS!$L72="Deferred",5,1)))),""))</f>
        <v/>
      </c>
      <c r="G72" s="58" t="str">
        <f>IF(OR(WBS!$F72="",WBS!$T72=""),"",IF(AND(2&gt;=WBS!$F72,2&lt;=WBS!$T72),IF(WBS!$L72="Done",3,IF(WBS!$L72="Doing",2,IF(WBS!$L72="Blocked",4,IF(WBS!$L72="Deferred",5,1)))),""))</f>
        <v/>
      </c>
      <c r="H72" s="58" t="str">
        <f>IF(OR(WBS!$F72="",WBS!$T72=""),"",IF(AND(3&gt;=WBS!$F72,3&lt;=WBS!$T72),IF(WBS!$L72="Done",3,IF(WBS!$L72="Doing",2,IF(WBS!$L72="Blocked",4,IF(WBS!$L72="Deferred",5,1)))),""))</f>
        <v/>
      </c>
      <c r="I72" s="58" t="str">
        <f>IF(OR(WBS!$F72="",WBS!$T72=""),"",IF(AND(4&gt;=WBS!$F72,4&lt;=WBS!$T72),IF(WBS!$L72="Done",3,IF(WBS!$L72="Doing",2,IF(WBS!$L72="Blocked",4,IF(WBS!$L72="Deferred",5,1)))),""))</f>
        <v/>
      </c>
      <c r="J72" s="58" t="str">
        <f>IF(OR(WBS!$F72="",WBS!$T72=""),"",IF(AND(5&gt;=WBS!$F72,5&lt;=WBS!$T72),IF(WBS!$L72="Done",3,IF(WBS!$L72="Doing",2,IF(WBS!$L72="Blocked",4,IF(WBS!$L72="Deferred",5,1)))),""))</f>
        <v/>
      </c>
      <c r="K72" s="58" t="str">
        <f>IF(OR(WBS!$F72="",WBS!$T72=""),"",IF(AND(6&gt;=WBS!$F72,6&lt;=WBS!$T72),IF(WBS!$L72="Done",3,IF(WBS!$L72="Doing",2,IF(WBS!$L72="Blocked",4,IF(WBS!$L72="Deferred",5,1)))),""))</f>
        <v/>
      </c>
      <c r="L72" s="58" t="str">
        <f>IF(OR(WBS!$F72="",WBS!$T72=""),"",IF(AND(7&gt;=WBS!$F72,7&lt;=WBS!$T72),IF(WBS!$L72="Done",3,IF(WBS!$L72="Doing",2,IF(WBS!$L72="Blocked",4,IF(WBS!$L72="Deferred",5,1)))),""))</f>
        <v/>
      </c>
      <c r="M72" s="58" t="str">
        <f>IF(OR(WBS!$F72="",WBS!$T72=""),"",IF(AND(8&gt;=WBS!$F72,8&lt;=WBS!$T72),IF(WBS!$L72="Done",3,IF(WBS!$L72="Doing",2,IF(WBS!$L72="Blocked",4,IF(WBS!$L72="Deferred",5,1)))),""))</f>
        <v/>
      </c>
      <c r="N72" s="58" t="str">
        <f>IF(OR(WBS!$F72="",WBS!$T72=""),"",IF(AND(9&gt;=WBS!$F72,9&lt;=WBS!$T72),IF(WBS!$L72="Done",3,IF(WBS!$L72="Doing",2,IF(WBS!$L72="Blocked",4,IF(WBS!$L72="Deferred",5,1)))),""))</f>
        <v/>
      </c>
      <c r="O72" s="58">
        <f>IF(OR(WBS!$F72="",WBS!$T72=""),"",IF(AND(10&gt;=WBS!$F72,10&lt;=WBS!$T72),IF(WBS!$L72="Done",3,IF(WBS!$L72="Doing",2,IF(WBS!$L72="Blocked",4,IF(WBS!$L72="Deferred",5,1)))),""))</f>
        <v>1</v>
      </c>
      <c r="P72" s="58" t="str">
        <f>IF(OR(WBS!$F72="",WBS!$T72=""),"",IF(AND(11&gt;=WBS!$F72,11&lt;=WBS!$T72),IF(WBS!$L72="Done",3,IF(WBS!$L72="Doing",2,IF(WBS!$L72="Blocked",4,IF(WBS!$L72="Deferred",5,1)))),""))</f>
        <v/>
      </c>
      <c r="Q72" s="58" t="str">
        <f>IF(OR(WBS!$F72="",WBS!$T72=""),"",IF(AND(12&gt;=WBS!$F72,12&lt;=WBS!$T72),IF(WBS!$L72="Done",3,IF(WBS!$L72="Doing",2,IF(WBS!$L72="Blocked",4,IF(WBS!$L72="Deferred",5,1)))),""))</f>
        <v/>
      </c>
      <c r="R72" s="58" t="str">
        <f>IF(OR(WBS!$F72="",WBS!$T72=""),"",IF(AND(13&gt;=WBS!$F72,13&lt;=WBS!$T72),IF(WBS!$L72="Done",3,IF(WBS!$L72="Doing",2,IF(WBS!$L72="Blocked",4,IF(WBS!$L72="Deferred",5,1)))),""))</f>
        <v/>
      </c>
      <c r="S72" s="58" t="str">
        <f>IF(OR(WBS!$F72="",WBS!$T72=""),"",IF(AND(14&gt;=WBS!$F72,14&lt;=WBS!$T72),IF(WBS!$L72="Done",3,IF(WBS!$L72="Doing",2,IF(WBS!$L72="Blocked",4,IF(WBS!$L72="Deferred",5,1)))),""))</f>
        <v/>
      </c>
      <c r="T72" s="58" t="str">
        <f>IF(OR(WBS!$F72="",WBS!$T72=""),"",IF(AND(15&gt;=WBS!$F72,15&lt;=WBS!$T72),IF(WBS!$L72="Done",3,IF(WBS!$L72="Doing",2,IF(WBS!$L72="Blocked",4,IF(WBS!$L72="Deferred",5,1)))),""))</f>
        <v/>
      </c>
      <c r="U72" s="58" t="str">
        <f>IF(OR(WBS!$F72="",WBS!$T72=""),"",IF(AND(16&gt;=WBS!$F72,16&lt;=WBS!$T72),IF(WBS!$L72="Done",3,IF(WBS!$L72="Doing",2,IF(WBS!$L72="Blocked",4,IF(WBS!$L72="Deferred",5,1)))),""))</f>
        <v/>
      </c>
      <c r="V72" s="58" t="str">
        <f>IF(OR(WBS!$F72="",WBS!$T72=""),"",IF(AND(17&gt;=WBS!$F72,17&lt;=WBS!$T72),IF(WBS!$L72="Done",3,IF(WBS!$L72="Doing",2,IF(WBS!$L72="Blocked",4,IF(WBS!$L72="Deferred",5,1)))),""))</f>
        <v/>
      </c>
      <c r="W72" s="58" t="str">
        <f>IF(OR(WBS!$F72="",WBS!$T72=""),"",IF(AND(18&gt;=WBS!$F72,18&lt;=WBS!$T72),IF(WBS!$L72="Done",3,IF(WBS!$L72="Doing",2,IF(WBS!$L72="Blocked",4,IF(WBS!$L72="Deferred",5,1)))),""))</f>
        <v/>
      </c>
      <c r="X72" s="58" t="str">
        <f>IF(OR(WBS!$F72="",WBS!$T72=""),"",IF(AND(19&gt;=WBS!$F72,19&lt;=WBS!$T72),IF(WBS!$L72="Done",3,IF(WBS!$L72="Doing",2,IF(WBS!$L72="Blocked",4,IF(WBS!$L72="Deferred",5,1)))),""))</f>
        <v/>
      </c>
      <c r="Y72" s="58" t="str">
        <f>IF(OR(WBS!$F72="",WBS!$T72=""),"",IF(AND(20&gt;=WBS!$F72,20&lt;=WBS!$T72),IF(WBS!$L72="Done",3,IF(WBS!$L72="Doing",2,IF(WBS!$L72="Blocked",4,IF(WBS!$L72="Deferred",5,1)))),""))</f>
        <v/>
      </c>
      <c r="Z72" s="58" t="str">
        <f>IF(OR(WBS!$F72="",WBS!$T72=""),"",IF(AND(21&gt;=WBS!$F72,21&lt;=WBS!$T72),IF(WBS!$L72="Done",3,IF(WBS!$L72="Doing",2,IF(WBS!$L72="Blocked",4,IF(WBS!$L72="Deferred",5,1)))),""))</f>
        <v/>
      </c>
    </row>
    <row r="73" spans="1:26" x14ac:dyDescent="0.3">
      <c r="A73" s="64" t="str">
        <f>WBS!$A73</f>
        <v>5.1.1</v>
      </c>
      <c r="B73" s="65" t="str">
        <f>WBS!$C73</f>
        <v xml:space="preserve">        Shell, auth, routing and layout</v>
      </c>
      <c r="C73" s="66" t="str">
        <f>IF(WBS!$E73="","",WBS!$E73)</f>
        <v>WEB</v>
      </c>
      <c r="D73" s="67">
        <f>WBS!$J73</f>
        <v>2</v>
      </c>
      <c r="E73" s="68">
        <f>WBS!$M73</f>
        <v>0</v>
      </c>
      <c r="F73" s="58" t="str">
        <f>IF(OR(WBS!$F73="",WBS!$T73=""),"",IF(AND(1&gt;=WBS!$F73,1&lt;=WBS!$T73),IF(WBS!$L73="Done",3,IF(WBS!$L73="Doing",2,IF(WBS!$L73="Blocked",4,IF(WBS!$L73="Deferred",5,1)))),""))</f>
        <v/>
      </c>
      <c r="G73" s="58" t="str">
        <f>IF(OR(WBS!$F73="",WBS!$T73=""),"",IF(AND(2&gt;=WBS!$F73,2&lt;=WBS!$T73),IF(WBS!$L73="Done",3,IF(WBS!$L73="Doing",2,IF(WBS!$L73="Blocked",4,IF(WBS!$L73="Deferred",5,1)))),""))</f>
        <v/>
      </c>
      <c r="H73" s="58" t="str">
        <f>IF(OR(WBS!$F73="",WBS!$T73=""),"",IF(AND(3&gt;=WBS!$F73,3&lt;=WBS!$T73),IF(WBS!$L73="Done",3,IF(WBS!$L73="Doing",2,IF(WBS!$L73="Blocked",4,IF(WBS!$L73="Deferred",5,1)))),""))</f>
        <v/>
      </c>
      <c r="I73" s="58" t="str">
        <f>IF(OR(WBS!$F73="",WBS!$T73=""),"",IF(AND(4&gt;=WBS!$F73,4&lt;=WBS!$T73),IF(WBS!$L73="Done",3,IF(WBS!$L73="Doing",2,IF(WBS!$L73="Blocked",4,IF(WBS!$L73="Deferred",5,1)))),""))</f>
        <v/>
      </c>
      <c r="J73" s="58" t="str">
        <f>IF(OR(WBS!$F73="",WBS!$T73=""),"",IF(AND(5&gt;=WBS!$F73,5&lt;=WBS!$T73),IF(WBS!$L73="Done",3,IF(WBS!$L73="Doing",2,IF(WBS!$L73="Blocked",4,IF(WBS!$L73="Deferred",5,1)))),""))</f>
        <v/>
      </c>
      <c r="K73" s="58" t="str">
        <f>IF(OR(WBS!$F73="",WBS!$T73=""),"",IF(AND(6&gt;=WBS!$F73,6&lt;=WBS!$T73),IF(WBS!$L73="Done",3,IF(WBS!$L73="Doing",2,IF(WBS!$L73="Blocked",4,IF(WBS!$L73="Deferred",5,1)))),""))</f>
        <v/>
      </c>
      <c r="L73" s="58" t="str">
        <f>IF(OR(WBS!$F73="",WBS!$T73=""),"",IF(AND(7&gt;=WBS!$F73,7&lt;=WBS!$T73),IF(WBS!$L73="Done",3,IF(WBS!$L73="Doing",2,IF(WBS!$L73="Blocked",4,IF(WBS!$L73="Deferred",5,1)))),""))</f>
        <v/>
      </c>
      <c r="M73" s="58" t="str">
        <f>IF(OR(WBS!$F73="",WBS!$T73=""),"",IF(AND(8&gt;=WBS!$F73,8&lt;=WBS!$T73),IF(WBS!$L73="Done",3,IF(WBS!$L73="Doing",2,IF(WBS!$L73="Blocked",4,IF(WBS!$L73="Deferred",5,1)))),""))</f>
        <v/>
      </c>
      <c r="N73" s="58" t="str">
        <f>IF(OR(WBS!$F73="",WBS!$T73=""),"",IF(AND(9&gt;=WBS!$F73,9&lt;=WBS!$T73),IF(WBS!$L73="Done",3,IF(WBS!$L73="Doing",2,IF(WBS!$L73="Blocked",4,IF(WBS!$L73="Deferred",5,1)))),""))</f>
        <v/>
      </c>
      <c r="O73" s="58">
        <f>IF(OR(WBS!$F73="",WBS!$T73=""),"",IF(AND(10&gt;=WBS!$F73,10&lt;=WBS!$T73),IF(WBS!$L73="Done",3,IF(WBS!$L73="Doing",2,IF(WBS!$L73="Blocked",4,IF(WBS!$L73="Deferred",5,1)))),""))</f>
        <v>1</v>
      </c>
      <c r="P73" s="58" t="str">
        <f>IF(OR(WBS!$F73="",WBS!$T73=""),"",IF(AND(11&gt;=WBS!$F73,11&lt;=WBS!$T73),IF(WBS!$L73="Done",3,IF(WBS!$L73="Doing",2,IF(WBS!$L73="Blocked",4,IF(WBS!$L73="Deferred",5,1)))),""))</f>
        <v/>
      </c>
      <c r="Q73" s="58" t="str">
        <f>IF(OR(WBS!$F73="",WBS!$T73=""),"",IF(AND(12&gt;=WBS!$F73,12&lt;=WBS!$T73),IF(WBS!$L73="Done",3,IF(WBS!$L73="Doing",2,IF(WBS!$L73="Blocked",4,IF(WBS!$L73="Deferred",5,1)))),""))</f>
        <v/>
      </c>
      <c r="R73" s="58" t="str">
        <f>IF(OR(WBS!$F73="",WBS!$T73=""),"",IF(AND(13&gt;=WBS!$F73,13&lt;=WBS!$T73),IF(WBS!$L73="Done",3,IF(WBS!$L73="Doing",2,IF(WBS!$L73="Blocked",4,IF(WBS!$L73="Deferred",5,1)))),""))</f>
        <v/>
      </c>
      <c r="S73" s="58" t="str">
        <f>IF(OR(WBS!$F73="",WBS!$T73=""),"",IF(AND(14&gt;=WBS!$F73,14&lt;=WBS!$T73),IF(WBS!$L73="Done",3,IF(WBS!$L73="Doing",2,IF(WBS!$L73="Blocked",4,IF(WBS!$L73="Deferred",5,1)))),""))</f>
        <v/>
      </c>
      <c r="T73" s="58" t="str">
        <f>IF(OR(WBS!$F73="",WBS!$T73=""),"",IF(AND(15&gt;=WBS!$F73,15&lt;=WBS!$T73),IF(WBS!$L73="Done",3,IF(WBS!$L73="Doing",2,IF(WBS!$L73="Blocked",4,IF(WBS!$L73="Deferred",5,1)))),""))</f>
        <v/>
      </c>
      <c r="U73" s="58" t="str">
        <f>IF(OR(WBS!$F73="",WBS!$T73=""),"",IF(AND(16&gt;=WBS!$F73,16&lt;=WBS!$T73),IF(WBS!$L73="Done",3,IF(WBS!$L73="Doing",2,IF(WBS!$L73="Blocked",4,IF(WBS!$L73="Deferred",5,1)))),""))</f>
        <v/>
      </c>
      <c r="V73" s="58" t="str">
        <f>IF(OR(WBS!$F73="",WBS!$T73=""),"",IF(AND(17&gt;=WBS!$F73,17&lt;=WBS!$T73),IF(WBS!$L73="Done",3,IF(WBS!$L73="Doing",2,IF(WBS!$L73="Blocked",4,IF(WBS!$L73="Deferred",5,1)))),""))</f>
        <v/>
      </c>
      <c r="W73" s="58" t="str">
        <f>IF(OR(WBS!$F73="",WBS!$T73=""),"",IF(AND(18&gt;=WBS!$F73,18&lt;=WBS!$T73),IF(WBS!$L73="Done",3,IF(WBS!$L73="Doing",2,IF(WBS!$L73="Blocked",4,IF(WBS!$L73="Deferred",5,1)))),""))</f>
        <v/>
      </c>
      <c r="X73" s="58" t="str">
        <f>IF(OR(WBS!$F73="",WBS!$T73=""),"",IF(AND(19&gt;=WBS!$F73,19&lt;=WBS!$T73),IF(WBS!$L73="Done",3,IF(WBS!$L73="Doing",2,IF(WBS!$L73="Blocked",4,IF(WBS!$L73="Deferred",5,1)))),""))</f>
        <v/>
      </c>
      <c r="Y73" s="58" t="str">
        <f>IF(OR(WBS!$F73="",WBS!$T73=""),"",IF(AND(20&gt;=WBS!$F73,20&lt;=WBS!$T73),IF(WBS!$L73="Done",3,IF(WBS!$L73="Doing",2,IF(WBS!$L73="Blocked",4,IF(WBS!$L73="Deferred",5,1)))),""))</f>
        <v/>
      </c>
      <c r="Z73" s="58" t="str">
        <f>IF(OR(WBS!$F73="",WBS!$T73=""),"",IF(AND(21&gt;=WBS!$F73,21&lt;=WBS!$T73),IF(WBS!$L73="Done",3,IF(WBS!$L73="Doing",2,IF(WBS!$L73="Blocked",4,IF(WBS!$L73="Deferred",5,1)))),""))</f>
        <v/>
      </c>
    </row>
    <row r="74" spans="1:26" x14ac:dyDescent="0.3">
      <c r="A74" s="64" t="str">
        <f>WBS!$A74</f>
        <v>5.1.2</v>
      </c>
      <c r="B74" s="65" t="str">
        <f>WBS!$C74</f>
        <v xml:space="preserve">        Live Network Board with realtime deltas and filters</v>
      </c>
      <c r="C74" s="66" t="str">
        <f>IF(WBS!$E74="","",WBS!$E74)</f>
        <v>WEB</v>
      </c>
      <c r="D74" s="67">
        <f>WBS!$J74</f>
        <v>3.5</v>
      </c>
      <c r="E74" s="68">
        <f>WBS!$M74</f>
        <v>0</v>
      </c>
      <c r="F74" s="58" t="str">
        <f>IF(OR(WBS!$F74="",WBS!$T74=""),"",IF(AND(1&gt;=WBS!$F74,1&lt;=WBS!$T74),IF(WBS!$L74="Done",3,IF(WBS!$L74="Doing",2,IF(WBS!$L74="Blocked",4,IF(WBS!$L74="Deferred",5,1)))),""))</f>
        <v/>
      </c>
      <c r="G74" s="58" t="str">
        <f>IF(OR(WBS!$F74="",WBS!$T74=""),"",IF(AND(2&gt;=WBS!$F74,2&lt;=WBS!$T74),IF(WBS!$L74="Done",3,IF(WBS!$L74="Doing",2,IF(WBS!$L74="Blocked",4,IF(WBS!$L74="Deferred",5,1)))),""))</f>
        <v/>
      </c>
      <c r="H74" s="58" t="str">
        <f>IF(OR(WBS!$F74="",WBS!$T74=""),"",IF(AND(3&gt;=WBS!$F74,3&lt;=WBS!$T74),IF(WBS!$L74="Done",3,IF(WBS!$L74="Doing",2,IF(WBS!$L74="Blocked",4,IF(WBS!$L74="Deferred",5,1)))),""))</f>
        <v/>
      </c>
      <c r="I74" s="58" t="str">
        <f>IF(OR(WBS!$F74="",WBS!$T74=""),"",IF(AND(4&gt;=WBS!$F74,4&lt;=WBS!$T74),IF(WBS!$L74="Done",3,IF(WBS!$L74="Doing",2,IF(WBS!$L74="Blocked",4,IF(WBS!$L74="Deferred",5,1)))),""))</f>
        <v/>
      </c>
      <c r="J74" s="58" t="str">
        <f>IF(OR(WBS!$F74="",WBS!$T74=""),"",IF(AND(5&gt;=WBS!$F74,5&lt;=WBS!$T74),IF(WBS!$L74="Done",3,IF(WBS!$L74="Doing",2,IF(WBS!$L74="Blocked",4,IF(WBS!$L74="Deferred",5,1)))),""))</f>
        <v/>
      </c>
      <c r="K74" s="58" t="str">
        <f>IF(OR(WBS!$F74="",WBS!$T74=""),"",IF(AND(6&gt;=WBS!$F74,6&lt;=WBS!$T74),IF(WBS!$L74="Done",3,IF(WBS!$L74="Doing",2,IF(WBS!$L74="Blocked",4,IF(WBS!$L74="Deferred",5,1)))),""))</f>
        <v/>
      </c>
      <c r="L74" s="58" t="str">
        <f>IF(OR(WBS!$F74="",WBS!$T74=""),"",IF(AND(7&gt;=WBS!$F74,7&lt;=WBS!$T74),IF(WBS!$L74="Done",3,IF(WBS!$L74="Doing",2,IF(WBS!$L74="Blocked",4,IF(WBS!$L74="Deferred",5,1)))),""))</f>
        <v/>
      </c>
      <c r="M74" s="58" t="str">
        <f>IF(OR(WBS!$F74="",WBS!$T74=""),"",IF(AND(8&gt;=WBS!$F74,8&lt;=WBS!$T74),IF(WBS!$L74="Done",3,IF(WBS!$L74="Doing",2,IF(WBS!$L74="Blocked",4,IF(WBS!$L74="Deferred",5,1)))),""))</f>
        <v/>
      </c>
      <c r="N74" s="58" t="str">
        <f>IF(OR(WBS!$F74="",WBS!$T74=""),"",IF(AND(9&gt;=WBS!$F74,9&lt;=WBS!$T74),IF(WBS!$L74="Done",3,IF(WBS!$L74="Doing",2,IF(WBS!$L74="Blocked",4,IF(WBS!$L74="Deferred",5,1)))),""))</f>
        <v/>
      </c>
      <c r="O74" s="58">
        <f>IF(OR(WBS!$F74="",WBS!$T74=""),"",IF(AND(10&gt;=WBS!$F74,10&lt;=WBS!$T74),IF(WBS!$L74="Done",3,IF(WBS!$L74="Doing",2,IF(WBS!$L74="Blocked",4,IF(WBS!$L74="Deferred",5,1)))),""))</f>
        <v>1</v>
      </c>
      <c r="P74" s="58" t="str">
        <f>IF(OR(WBS!$F74="",WBS!$T74=""),"",IF(AND(11&gt;=WBS!$F74,11&lt;=WBS!$T74),IF(WBS!$L74="Done",3,IF(WBS!$L74="Doing",2,IF(WBS!$L74="Blocked",4,IF(WBS!$L74="Deferred",5,1)))),""))</f>
        <v/>
      </c>
      <c r="Q74" s="58" t="str">
        <f>IF(OR(WBS!$F74="",WBS!$T74=""),"",IF(AND(12&gt;=WBS!$F74,12&lt;=WBS!$T74),IF(WBS!$L74="Done",3,IF(WBS!$L74="Doing",2,IF(WBS!$L74="Blocked",4,IF(WBS!$L74="Deferred",5,1)))),""))</f>
        <v/>
      </c>
      <c r="R74" s="58" t="str">
        <f>IF(OR(WBS!$F74="",WBS!$T74=""),"",IF(AND(13&gt;=WBS!$F74,13&lt;=WBS!$T74),IF(WBS!$L74="Done",3,IF(WBS!$L74="Doing",2,IF(WBS!$L74="Blocked",4,IF(WBS!$L74="Deferred",5,1)))),""))</f>
        <v/>
      </c>
      <c r="S74" s="58" t="str">
        <f>IF(OR(WBS!$F74="",WBS!$T74=""),"",IF(AND(14&gt;=WBS!$F74,14&lt;=WBS!$T74),IF(WBS!$L74="Done",3,IF(WBS!$L74="Doing",2,IF(WBS!$L74="Blocked",4,IF(WBS!$L74="Deferred",5,1)))),""))</f>
        <v/>
      </c>
      <c r="T74" s="58" t="str">
        <f>IF(OR(WBS!$F74="",WBS!$T74=""),"",IF(AND(15&gt;=WBS!$F74,15&lt;=WBS!$T74),IF(WBS!$L74="Done",3,IF(WBS!$L74="Doing",2,IF(WBS!$L74="Blocked",4,IF(WBS!$L74="Deferred",5,1)))),""))</f>
        <v/>
      </c>
      <c r="U74" s="58" t="str">
        <f>IF(OR(WBS!$F74="",WBS!$T74=""),"",IF(AND(16&gt;=WBS!$F74,16&lt;=WBS!$T74),IF(WBS!$L74="Done",3,IF(WBS!$L74="Doing",2,IF(WBS!$L74="Blocked",4,IF(WBS!$L74="Deferred",5,1)))),""))</f>
        <v/>
      </c>
      <c r="V74" s="58" t="str">
        <f>IF(OR(WBS!$F74="",WBS!$T74=""),"",IF(AND(17&gt;=WBS!$F74,17&lt;=WBS!$T74),IF(WBS!$L74="Done",3,IF(WBS!$L74="Doing",2,IF(WBS!$L74="Blocked",4,IF(WBS!$L74="Deferred",5,1)))),""))</f>
        <v/>
      </c>
      <c r="W74" s="58" t="str">
        <f>IF(OR(WBS!$F74="",WBS!$T74=""),"",IF(AND(18&gt;=WBS!$F74,18&lt;=WBS!$T74),IF(WBS!$L74="Done",3,IF(WBS!$L74="Doing",2,IF(WBS!$L74="Blocked",4,IF(WBS!$L74="Deferred",5,1)))),""))</f>
        <v/>
      </c>
      <c r="X74" s="58" t="str">
        <f>IF(OR(WBS!$F74="",WBS!$T74=""),"",IF(AND(19&gt;=WBS!$F74,19&lt;=WBS!$T74),IF(WBS!$L74="Done",3,IF(WBS!$L74="Doing",2,IF(WBS!$L74="Blocked",4,IF(WBS!$L74="Deferred",5,1)))),""))</f>
        <v/>
      </c>
      <c r="Y74" s="58" t="str">
        <f>IF(OR(WBS!$F74="",WBS!$T74=""),"",IF(AND(20&gt;=WBS!$F74,20&lt;=WBS!$T74),IF(WBS!$L74="Done",3,IF(WBS!$L74="Doing",2,IF(WBS!$L74="Blocked",4,IF(WBS!$L74="Deferred",5,1)))),""))</f>
        <v/>
      </c>
      <c r="Z74" s="58" t="str">
        <f>IF(OR(WBS!$F74="",WBS!$T74=""),"",IF(AND(21&gt;=WBS!$F74,21&lt;=WBS!$T74),IF(WBS!$L74="Done",3,IF(WBS!$L74="Doing",2,IF(WBS!$L74="Blocked",4,IF(WBS!$L74="Deferred",5,1)))),""))</f>
        <v/>
      </c>
    </row>
    <row r="75" spans="1:26" x14ac:dyDescent="0.3">
      <c r="A75" s="64" t="str">
        <f>WBS!$A75</f>
        <v>5.1.3</v>
      </c>
      <c r="B75" s="65" t="str">
        <f>WBS!$C75</f>
        <v xml:space="preserve">        Timetable and Journeys screen with per-journey actions</v>
      </c>
      <c r="C75" s="66" t="str">
        <f>IF(WBS!$E75="","",WBS!$E75)</f>
        <v>WEB</v>
      </c>
      <c r="D75" s="67">
        <f>WBS!$J75</f>
        <v>2.5</v>
      </c>
      <c r="E75" s="68">
        <f>WBS!$M75</f>
        <v>0</v>
      </c>
      <c r="F75" s="58" t="str">
        <f>IF(OR(WBS!$F75="",WBS!$T75=""),"",IF(AND(1&gt;=WBS!$F75,1&lt;=WBS!$T75),IF(WBS!$L75="Done",3,IF(WBS!$L75="Doing",2,IF(WBS!$L75="Blocked",4,IF(WBS!$L75="Deferred",5,1)))),""))</f>
        <v/>
      </c>
      <c r="G75" s="58" t="str">
        <f>IF(OR(WBS!$F75="",WBS!$T75=""),"",IF(AND(2&gt;=WBS!$F75,2&lt;=WBS!$T75),IF(WBS!$L75="Done",3,IF(WBS!$L75="Doing",2,IF(WBS!$L75="Blocked",4,IF(WBS!$L75="Deferred",5,1)))),""))</f>
        <v/>
      </c>
      <c r="H75" s="58" t="str">
        <f>IF(OR(WBS!$F75="",WBS!$T75=""),"",IF(AND(3&gt;=WBS!$F75,3&lt;=WBS!$T75),IF(WBS!$L75="Done",3,IF(WBS!$L75="Doing",2,IF(WBS!$L75="Blocked",4,IF(WBS!$L75="Deferred",5,1)))),""))</f>
        <v/>
      </c>
      <c r="I75" s="58" t="str">
        <f>IF(OR(WBS!$F75="",WBS!$T75=""),"",IF(AND(4&gt;=WBS!$F75,4&lt;=WBS!$T75),IF(WBS!$L75="Done",3,IF(WBS!$L75="Doing",2,IF(WBS!$L75="Blocked",4,IF(WBS!$L75="Deferred",5,1)))),""))</f>
        <v/>
      </c>
      <c r="J75" s="58" t="str">
        <f>IF(OR(WBS!$F75="",WBS!$T75=""),"",IF(AND(5&gt;=WBS!$F75,5&lt;=WBS!$T75),IF(WBS!$L75="Done",3,IF(WBS!$L75="Doing",2,IF(WBS!$L75="Blocked",4,IF(WBS!$L75="Deferred",5,1)))),""))</f>
        <v/>
      </c>
      <c r="K75" s="58" t="str">
        <f>IF(OR(WBS!$F75="",WBS!$T75=""),"",IF(AND(6&gt;=WBS!$F75,6&lt;=WBS!$T75),IF(WBS!$L75="Done",3,IF(WBS!$L75="Doing",2,IF(WBS!$L75="Blocked",4,IF(WBS!$L75="Deferred",5,1)))),""))</f>
        <v/>
      </c>
      <c r="L75" s="58" t="str">
        <f>IF(OR(WBS!$F75="",WBS!$T75=""),"",IF(AND(7&gt;=WBS!$F75,7&lt;=WBS!$T75),IF(WBS!$L75="Done",3,IF(WBS!$L75="Doing",2,IF(WBS!$L75="Blocked",4,IF(WBS!$L75="Deferred",5,1)))),""))</f>
        <v/>
      </c>
      <c r="M75" s="58" t="str">
        <f>IF(OR(WBS!$F75="",WBS!$T75=""),"",IF(AND(8&gt;=WBS!$F75,8&lt;=WBS!$T75),IF(WBS!$L75="Done",3,IF(WBS!$L75="Doing",2,IF(WBS!$L75="Blocked",4,IF(WBS!$L75="Deferred",5,1)))),""))</f>
        <v/>
      </c>
      <c r="N75" s="58" t="str">
        <f>IF(OR(WBS!$F75="",WBS!$T75=""),"",IF(AND(9&gt;=WBS!$F75,9&lt;=WBS!$T75),IF(WBS!$L75="Done",3,IF(WBS!$L75="Doing",2,IF(WBS!$L75="Blocked",4,IF(WBS!$L75="Deferred",5,1)))),""))</f>
        <v/>
      </c>
      <c r="O75" s="58">
        <f>IF(OR(WBS!$F75="",WBS!$T75=""),"",IF(AND(10&gt;=WBS!$F75,10&lt;=WBS!$T75),IF(WBS!$L75="Done",3,IF(WBS!$L75="Doing",2,IF(WBS!$L75="Blocked",4,IF(WBS!$L75="Deferred",5,1)))),""))</f>
        <v>1</v>
      </c>
      <c r="P75" s="58" t="str">
        <f>IF(OR(WBS!$F75="",WBS!$T75=""),"",IF(AND(11&gt;=WBS!$F75,11&lt;=WBS!$T75),IF(WBS!$L75="Done",3,IF(WBS!$L75="Doing",2,IF(WBS!$L75="Blocked",4,IF(WBS!$L75="Deferred",5,1)))),""))</f>
        <v/>
      </c>
      <c r="Q75" s="58" t="str">
        <f>IF(OR(WBS!$F75="",WBS!$T75=""),"",IF(AND(12&gt;=WBS!$F75,12&lt;=WBS!$T75),IF(WBS!$L75="Done",3,IF(WBS!$L75="Doing",2,IF(WBS!$L75="Blocked",4,IF(WBS!$L75="Deferred",5,1)))),""))</f>
        <v/>
      </c>
      <c r="R75" s="58" t="str">
        <f>IF(OR(WBS!$F75="",WBS!$T75=""),"",IF(AND(13&gt;=WBS!$F75,13&lt;=WBS!$T75),IF(WBS!$L75="Done",3,IF(WBS!$L75="Doing",2,IF(WBS!$L75="Blocked",4,IF(WBS!$L75="Deferred",5,1)))),""))</f>
        <v/>
      </c>
      <c r="S75" s="58" t="str">
        <f>IF(OR(WBS!$F75="",WBS!$T75=""),"",IF(AND(14&gt;=WBS!$F75,14&lt;=WBS!$T75),IF(WBS!$L75="Done",3,IF(WBS!$L75="Doing",2,IF(WBS!$L75="Blocked",4,IF(WBS!$L75="Deferred",5,1)))),""))</f>
        <v/>
      </c>
      <c r="T75" s="58" t="str">
        <f>IF(OR(WBS!$F75="",WBS!$T75=""),"",IF(AND(15&gt;=WBS!$F75,15&lt;=WBS!$T75),IF(WBS!$L75="Done",3,IF(WBS!$L75="Doing",2,IF(WBS!$L75="Blocked",4,IF(WBS!$L75="Deferred",5,1)))),""))</f>
        <v/>
      </c>
      <c r="U75" s="58" t="str">
        <f>IF(OR(WBS!$F75="",WBS!$T75=""),"",IF(AND(16&gt;=WBS!$F75,16&lt;=WBS!$T75),IF(WBS!$L75="Done",3,IF(WBS!$L75="Doing",2,IF(WBS!$L75="Blocked",4,IF(WBS!$L75="Deferred",5,1)))),""))</f>
        <v/>
      </c>
      <c r="V75" s="58" t="str">
        <f>IF(OR(WBS!$F75="",WBS!$T75=""),"",IF(AND(17&gt;=WBS!$F75,17&lt;=WBS!$T75),IF(WBS!$L75="Done",3,IF(WBS!$L75="Doing",2,IF(WBS!$L75="Blocked",4,IF(WBS!$L75="Deferred",5,1)))),""))</f>
        <v/>
      </c>
      <c r="W75" s="58" t="str">
        <f>IF(OR(WBS!$F75="",WBS!$T75=""),"",IF(AND(18&gt;=WBS!$F75,18&lt;=WBS!$T75),IF(WBS!$L75="Done",3,IF(WBS!$L75="Doing",2,IF(WBS!$L75="Blocked",4,IF(WBS!$L75="Deferred",5,1)))),""))</f>
        <v/>
      </c>
      <c r="X75" s="58" t="str">
        <f>IF(OR(WBS!$F75="",WBS!$T75=""),"",IF(AND(19&gt;=WBS!$F75,19&lt;=WBS!$T75),IF(WBS!$L75="Done",3,IF(WBS!$L75="Doing",2,IF(WBS!$L75="Blocked",4,IF(WBS!$L75="Deferred",5,1)))),""))</f>
        <v/>
      </c>
      <c r="Y75" s="58" t="str">
        <f>IF(OR(WBS!$F75="",WBS!$T75=""),"",IF(AND(20&gt;=WBS!$F75,20&lt;=WBS!$T75),IF(WBS!$L75="Done",3,IF(WBS!$L75="Doing",2,IF(WBS!$L75="Blocked",4,IF(WBS!$L75="Deferred",5,1)))),""))</f>
        <v/>
      </c>
      <c r="Z75" s="58" t="str">
        <f>IF(OR(WBS!$F75="",WBS!$T75=""),"",IF(AND(21&gt;=WBS!$F75,21&lt;=WBS!$T75),IF(WBS!$L75="Done",3,IF(WBS!$L75="Doing",2,IF(WBS!$L75="Blocked",4,IF(WBS!$L75="Deferred",5,1)))),""))</f>
        <v/>
      </c>
    </row>
    <row r="76" spans="1:26" x14ac:dyDescent="0.3">
      <c r="A76" s="59" t="str">
        <f>WBS!$A76</f>
        <v>5.2</v>
      </c>
      <c r="B76" s="60" t="str">
        <f>WBS!$C76</f>
        <v xml:space="preserve">    Ops console operational tools</v>
      </c>
      <c r="C76" s="61" t="str">
        <f>IF(WBS!$E76="","",WBS!$E76)</f>
        <v/>
      </c>
      <c r="D76" s="62">
        <f>WBS!$J76</f>
        <v>5</v>
      </c>
      <c r="E76" s="63">
        <f>WBS!$M76</f>
        <v>0</v>
      </c>
      <c r="F76" s="58" t="str">
        <f>IF(OR(WBS!$F76="",WBS!$T76=""),"",IF(AND(1&gt;=WBS!$F76,1&lt;=WBS!$T76),IF(WBS!$L76="Done",3,IF(WBS!$L76="Doing",2,IF(WBS!$L76="Blocked",4,IF(WBS!$L76="Deferred",5,1)))),""))</f>
        <v/>
      </c>
      <c r="G76" s="58" t="str">
        <f>IF(OR(WBS!$F76="",WBS!$T76=""),"",IF(AND(2&gt;=WBS!$F76,2&lt;=WBS!$T76),IF(WBS!$L76="Done",3,IF(WBS!$L76="Doing",2,IF(WBS!$L76="Blocked",4,IF(WBS!$L76="Deferred",5,1)))),""))</f>
        <v/>
      </c>
      <c r="H76" s="58" t="str">
        <f>IF(OR(WBS!$F76="",WBS!$T76=""),"",IF(AND(3&gt;=WBS!$F76,3&lt;=WBS!$T76),IF(WBS!$L76="Done",3,IF(WBS!$L76="Doing",2,IF(WBS!$L76="Blocked",4,IF(WBS!$L76="Deferred",5,1)))),""))</f>
        <v/>
      </c>
      <c r="I76" s="58" t="str">
        <f>IF(OR(WBS!$F76="",WBS!$T76=""),"",IF(AND(4&gt;=WBS!$F76,4&lt;=WBS!$T76),IF(WBS!$L76="Done",3,IF(WBS!$L76="Doing",2,IF(WBS!$L76="Blocked",4,IF(WBS!$L76="Deferred",5,1)))),""))</f>
        <v/>
      </c>
      <c r="J76" s="58" t="str">
        <f>IF(OR(WBS!$F76="",WBS!$T76=""),"",IF(AND(5&gt;=WBS!$F76,5&lt;=WBS!$T76),IF(WBS!$L76="Done",3,IF(WBS!$L76="Doing",2,IF(WBS!$L76="Blocked",4,IF(WBS!$L76="Deferred",5,1)))),""))</f>
        <v/>
      </c>
      <c r="K76" s="58" t="str">
        <f>IF(OR(WBS!$F76="",WBS!$T76=""),"",IF(AND(6&gt;=WBS!$F76,6&lt;=WBS!$T76),IF(WBS!$L76="Done",3,IF(WBS!$L76="Doing",2,IF(WBS!$L76="Blocked",4,IF(WBS!$L76="Deferred",5,1)))),""))</f>
        <v/>
      </c>
      <c r="L76" s="58" t="str">
        <f>IF(OR(WBS!$F76="",WBS!$T76=""),"",IF(AND(7&gt;=WBS!$F76,7&lt;=WBS!$T76),IF(WBS!$L76="Done",3,IF(WBS!$L76="Doing",2,IF(WBS!$L76="Blocked",4,IF(WBS!$L76="Deferred",5,1)))),""))</f>
        <v/>
      </c>
      <c r="M76" s="58" t="str">
        <f>IF(OR(WBS!$F76="",WBS!$T76=""),"",IF(AND(8&gt;=WBS!$F76,8&lt;=WBS!$T76),IF(WBS!$L76="Done",3,IF(WBS!$L76="Doing",2,IF(WBS!$L76="Blocked",4,IF(WBS!$L76="Deferred",5,1)))),""))</f>
        <v/>
      </c>
      <c r="N76" s="58" t="str">
        <f>IF(OR(WBS!$F76="",WBS!$T76=""),"",IF(AND(9&gt;=WBS!$F76,9&lt;=WBS!$T76),IF(WBS!$L76="Done",3,IF(WBS!$L76="Doing",2,IF(WBS!$L76="Blocked",4,IF(WBS!$L76="Deferred",5,1)))),""))</f>
        <v/>
      </c>
      <c r="O76" s="58" t="str">
        <f>IF(OR(WBS!$F76="",WBS!$T76=""),"",IF(AND(10&gt;=WBS!$F76,10&lt;=WBS!$T76),IF(WBS!$L76="Done",3,IF(WBS!$L76="Doing",2,IF(WBS!$L76="Blocked",4,IF(WBS!$L76="Deferred",5,1)))),""))</f>
        <v/>
      </c>
      <c r="P76" s="58">
        <f>IF(OR(WBS!$F76="",WBS!$T76=""),"",IF(AND(11&gt;=WBS!$F76,11&lt;=WBS!$T76),IF(WBS!$L76="Done",3,IF(WBS!$L76="Doing",2,IF(WBS!$L76="Blocked",4,IF(WBS!$L76="Deferred",5,1)))),""))</f>
        <v>1</v>
      </c>
      <c r="Q76" s="58" t="str">
        <f>IF(OR(WBS!$F76="",WBS!$T76=""),"",IF(AND(12&gt;=WBS!$F76,12&lt;=WBS!$T76),IF(WBS!$L76="Done",3,IF(WBS!$L76="Doing",2,IF(WBS!$L76="Blocked",4,IF(WBS!$L76="Deferred",5,1)))),""))</f>
        <v/>
      </c>
      <c r="R76" s="58" t="str">
        <f>IF(OR(WBS!$F76="",WBS!$T76=""),"",IF(AND(13&gt;=WBS!$F76,13&lt;=WBS!$T76),IF(WBS!$L76="Done",3,IF(WBS!$L76="Doing",2,IF(WBS!$L76="Blocked",4,IF(WBS!$L76="Deferred",5,1)))),""))</f>
        <v/>
      </c>
      <c r="S76" s="58" t="str">
        <f>IF(OR(WBS!$F76="",WBS!$T76=""),"",IF(AND(14&gt;=WBS!$F76,14&lt;=WBS!$T76),IF(WBS!$L76="Done",3,IF(WBS!$L76="Doing",2,IF(WBS!$L76="Blocked",4,IF(WBS!$L76="Deferred",5,1)))),""))</f>
        <v/>
      </c>
      <c r="T76" s="58" t="str">
        <f>IF(OR(WBS!$F76="",WBS!$T76=""),"",IF(AND(15&gt;=WBS!$F76,15&lt;=WBS!$T76),IF(WBS!$L76="Done",3,IF(WBS!$L76="Doing",2,IF(WBS!$L76="Blocked",4,IF(WBS!$L76="Deferred",5,1)))),""))</f>
        <v/>
      </c>
      <c r="U76" s="58" t="str">
        <f>IF(OR(WBS!$F76="",WBS!$T76=""),"",IF(AND(16&gt;=WBS!$F76,16&lt;=WBS!$T76),IF(WBS!$L76="Done",3,IF(WBS!$L76="Doing",2,IF(WBS!$L76="Blocked",4,IF(WBS!$L76="Deferred",5,1)))),""))</f>
        <v/>
      </c>
      <c r="V76" s="58" t="str">
        <f>IF(OR(WBS!$F76="",WBS!$T76=""),"",IF(AND(17&gt;=WBS!$F76,17&lt;=WBS!$T76),IF(WBS!$L76="Done",3,IF(WBS!$L76="Doing",2,IF(WBS!$L76="Blocked",4,IF(WBS!$L76="Deferred",5,1)))),""))</f>
        <v/>
      </c>
      <c r="W76" s="58" t="str">
        <f>IF(OR(WBS!$F76="",WBS!$T76=""),"",IF(AND(18&gt;=WBS!$F76,18&lt;=WBS!$T76),IF(WBS!$L76="Done",3,IF(WBS!$L76="Doing",2,IF(WBS!$L76="Blocked",4,IF(WBS!$L76="Deferred",5,1)))),""))</f>
        <v/>
      </c>
      <c r="X76" s="58" t="str">
        <f>IF(OR(WBS!$F76="",WBS!$T76=""),"",IF(AND(19&gt;=WBS!$F76,19&lt;=WBS!$T76),IF(WBS!$L76="Done",3,IF(WBS!$L76="Doing",2,IF(WBS!$L76="Blocked",4,IF(WBS!$L76="Deferred",5,1)))),""))</f>
        <v/>
      </c>
      <c r="Y76" s="58" t="str">
        <f>IF(OR(WBS!$F76="",WBS!$T76=""),"",IF(AND(20&gt;=WBS!$F76,20&lt;=WBS!$T76),IF(WBS!$L76="Done",3,IF(WBS!$L76="Doing",2,IF(WBS!$L76="Blocked",4,IF(WBS!$L76="Deferred",5,1)))),""))</f>
        <v/>
      </c>
      <c r="Z76" s="58" t="str">
        <f>IF(OR(WBS!$F76="",WBS!$T76=""),"",IF(AND(21&gt;=WBS!$F76,21&lt;=WBS!$T76),IF(WBS!$L76="Done",3,IF(WBS!$L76="Doing",2,IF(WBS!$L76="Blocked",4,IF(WBS!$L76="Deferred",5,1)))),""))</f>
        <v/>
      </c>
    </row>
    <row r="77" spans="1:26" ht="26.4" x14ac:dyDescent="0.3">
      <c r="A77" s="64" t="str">
        <f>WBS!$A77</f>
        <v>5.2.1</v>
      </c>
      <c r="B77" s="65" t="str">
        <f>WBS!$C77</f>
        <v xml:space="preserve">        Disruption Console with passenger preview and network-wide confirm gate</v>
      </c>
      <c r="C77" s="66" t="str">
        <f>IF(WBS!$E77="","",WBS!$E77)</f>
        <v>WEB</v>
      </c>
      <c r="D77" s="67">
        <f>WBS!$J77</f>
        <v>2.5</v>
      </c>
      <c r="E77" s="68">
        <f>WBS!$M77</f>
        <v>0</v>
      </c>
      <c r="F77" s="58" t="str">
        <f>IF(OR(WBS!$F77="",WBS!$T77=""),"",IF(AND(1&gt;=WBS!$F77,1&lt;=WBS!$T77),IF(WBS!$L77="Done",3,IF(WBS!$L77="Doing",2,IF(WBS!$L77="Blocked",4,IF(WBS!$L77="Deferred",5,1)))),""))</f>
        <v/>
      </c>
      <c r="G77" s="58" t="str">
        <f>IF(OR(WBS!$F77="",WBS!$T77=""),"",IF(AND(2&gt;=WBS!$F77,2&lt;=WBS!$T77),IF(WBS!$L77="Done",3,IF(WBS!$L77="Doing",2,IF(WBS!$L77="Blocked",4,IF(WBS!$L77="Deferred",5,1)))),""))</f>
        <v/>
      </c>
      <c r="H77" s="58" t="str">
        <f>IF(OR(WBS!$F77="",WBS!$T77=""),"",IF(AND(3&gt;=WBS!$F77,3&lt;=WBS!$T77),IF(WBS!$L77="Done",3,IF(WBS!$L77="Doing",2,IF(WBS!$L77="Blocked",4,IF(WBS!$L77="Deferred",5,1)))),""))</f>
        <v/>
      </c>
      <c r="I77" s="58" t="str">
        <f>IF(OR(WBS!$F77="",WBS!$T77=""),"",IF(AND(4&gt;=WBS!$F77,4&lt;=WBS!$T77),IF(WBS!$L77="Done",3,IF(WBS!$L77="Doing",2,IF(WBS!$L77="Blocked",4,IF(WBS!$L77="Deferred",5,1)))),""))</f>
        <v/>
      </c>
      <c r="J77" s="58" t="str">
        <f>IF(OR(WBS!$F77="",WBS!$T77=""),"",IF(AND(5&gt;=WBS!$F77,5&lt;=WBS!$T77),IF(WBS!$L77="Done",3,IF(WBS!$L77="Doing",2,IF(WBS!$L77="Blocked",4,IF(WBS!$L77="Deferred",5,1)))),""))</f>
        <v/>
      </c>
      <c r="K77" s="58" t="str">
        <f>IF(OR(WBS!$F77="",WBS!$T77=""),"",IF(AND(6&gt;=WBS!$F77,6&lt;=WBS!$T77),IF(WBS!$L77="Done",3,IF(WBS!$L77="Doing",2,IF(WBS!$L77="Blocked",4,IF(WBS!$L77="Deferred",5,1)))),""))</f>
        <v/>
      </c>
      <c r="L77" s="58" t="str">
        <f>IF(OR(WBS!$F77="",WBS!$T77=""),"",IF(AND(7&gt;=WBS!$F77,7&lt;=WBS!$T77),IF(WBS!$L77="Done",3,IF(WBS!$L77="Doing",2,IF(WBS!$L77="Blocked",4,IF(WBS!$L77="Deferred",5,1)))),""))</f>
        <v/>
      </c>
      <c r="M77" s="58" t="str">
        <f>IF(OR(WBS!$F77="",WBS!$T77=""),"",IF(AND(8&gt;=WBS!$F77,8&lt;=WBS!$T77),IF(WBS!$L77="Done",3,IF(WBS!$L77="Doing",2,IF(WBS!$L77="Blocked",4,IF(WBS!$L77="Deferred",5,1)))),""))</f>
        <v/>
      </c>
      <c r="N77" s="58" t="str">
        <f>IF(OR(WBS!$F77="",WBS!$T77=""),"",IF(AND(9&gt;=WBS!$F77,9&lt;=WBS!$T77),IF(WBS!$L77="Done",3,IF(WBS!$L77="Doing",2,IF(WBS!$L77="Blocked",4,IF(WBS!$L77="Deferred",5,1)))),""))</f>
        <v/>
      </c>
      <c r="O77" s="58" t="str">
        <f>IF(OR(WBS!$F77="",WBS!$T77=""),"",IF(AND(10&gt;=WBS!$F77,10&lt;=WBS!$T77),IF(WBS!$L77="Done",3,IF(WBS!$L77="Doing",2,IF(WBS!$L77="Blocked",4,IF(WBS!$L77="Deferred",5,1)))),""))</f>
        <v/>
      </c>
      <c r="P77" s="58">
        <f>IF(OR(WBS!$F77="",WBS!$T77=""),"",IF(AND(11&gt;=WBS!$F77,11&lt;=WBS!$T77),IF(WBS!$L77="Done",3,IF(WBS!$L77="Doing",2,IF(WBS!$L77="Blocked",4,IF(WBS!$L77="Deferred",5,1)))),""))</f>
        <v>1</v>
      </c>
      <c r="Q77" s="58" t="str">
        <f>IF(OR(WBS!$F77="",WBS!$T77=""),"",IF(AND(12&gt;=WBS!$F77,12&lt;=WBS!$T77),IF(WBS!$L77="Done",3,IF(WBS!$L77="Doing",2,IF(WBS!$L77="Blocked",4,IF(WBS!$L77="Deferred",5,1)))),""))</f>
        <v/>
      </c>
      <c r="R77" s="58" t="str">
        <f>IF(OR(WBS!$F77="",WBS!$T77=""),"",IF(AND(13&gt;=WBS!$F77,13&lt;=WBS!$T77),IF(WBS!$L77="Done",3,IF(WBS!$L77="Doing",2,IF(WBS!$L77="Blocked",4,IF(WBS!$L77="Deferred",5,1)))),""))</f>
        <v/>
      </c>
      <c r="S77" s="58" t="str">
        <f>IF(OR(WBS!$F77="",WBS!$T77=""),"",IF(AND(14&gt;=WBS!$F77,14&lt;=WBS!$T77),IF(WBS!$L77="Done",3,IF(WBS!$L77="Doing",2,IF(WBS!$L77="Blocked",4,IF(WBS!$L77="Deferred",5,1)))),""))</f>
        <v/>
      </c>
      <c r="T77" s="58" t="str">
        <f>IF(OR(WBS!$F77="",WBS!$T77=""),"",IF(AND(15&gt;=WBS!$F77,15&lt;=WBS!$T77),IF(WBS!$L77="Done",3,IF(WBS!$L77="Doing",2,IF(WBS!$L77="Blocked",4,IF(WBS!$L77="Deferred",5,1)))),""))</f>
        <v/>
      </c>
      <c r="U77" s="58" t="str">
        <f>IF(OR(WBS!$F77="",WBS!$T77=""),"",IF(AND(16&gt;=WBS!$F77,16&lt;=WBS!$T77),IF(WBS!$L77="Done",3,IF(WBS!$L77="Doing",2,IF(WBS!$L77="Blocked",4,IF(WBS!$L77="Deferred",5,1)))),""))</f>
        <v/>
      </c>
      <c r="V77" s="58" t="str">
        <f>IF(OR(WBS!$F77="",WBS!$T77=""),"",IF(AND(17&gt;=WBS!$F77,17&lt;=WBS!$T77),IF(WBS!$L77="Done",3,IF(WBS!$L77="Doing",2,IF(WBS!$L77="Blocked",4,IF(WBS!$L77="Deferred",5,1)))),""))</f>
        <v/>
      </c>
      <c r="W77" s="58" t="str">
        <f>IF(OR(WBS!$F77="",WBS!$T77=""),"",IF(AND(18&gt;=WBS!$F77,18&lt;=WBS!$T77),IF(WBS!$L77="Done",3,IF(WBS!$L77="Doing",2,IF(WBS!$L77="Blocked",4,IF(WBS!$L77="Deferred",5,1)))),""))</f>
        <v/>
      </c>
      <c r="X77" s="58" t="str">
        <f>IF(OR(WBS!$F77="",WBS!$T77=""),"",IF(AND(19&gt;=WBS!$F77,19&lt;=WBS!$T77),IF(WBS!$L77="Done",3,IF(WBS!$L77="Doing",2,IF(WBS!$L77="Blocked",4,IF(WBS!$L77="Deferred",5,1)))),""))</f>
        <v/>
      </c>
      <c r="Y77" s="58" t="str">
        <f>IF(OR(WBS!$F77="",WBS!$T77=""),"",IF(AND(20&gt;=WBS!$F77,20&lt;=WBS!$T77),IF(WBS!$L77="Done",3,IF(WBS!$L77="Doing",2,IF(WBS!$L77="Blocked",4,IF(WBS!$L77="Deferred",5,1)))),""))</f>
        <v/>
      </c>
      <c r="Z77" s="58" t="str">
        <f>IF(OR(WBS!$F77="",WBS!$T77=""),"",IF(AND(21&gt;=WBS!$F77,21&lt;=WBS!$T77),IF(WBS!$L77="Done",3,IF(WBS!$L77="Doing",2,IF(WBS!$L77="Blocked",4,IF(WBS!$L77="Deferred",5,1)))),""))</f>
        <v/>
      </c>
    </row>
    <row r="78" spans="1:26" x14ac:dyDescent="0.3">
      <c r="A78" s="64" t="str">
        <f>WBS!$A78</f>
        <v>5.2.2</v>
      </c>
      <c r="B78" s="65" t="str">
        <f>WBS!$C78</f>
        <v xml:space="preserve">        Station and Device Health with heartbeat and revoke</v>
      </c>
      <c r="C78" s="66" t="str">
        <f>IF(WBS!$E78="","",WBS!$E78)</f>
        <v>WEB</v>
      </c>
      <c r="D78" s="67">
        <f>WBS!$J78</f>
        <v>1.5</v>
      </c>
      <c r="E78" s="68">
        <f>WBS!$M78</f>
        <v>0</v>
      </c>
      <c r="F78" s="58" t="str">
        <f>IF(OR(WBS!$F78="",WBS!$T78=""),"",IF(AND(1&gt;=WBS!$F78,1&lt;=WBS!$T78),IF(WBS!$L78="Done",3,IF(WBS!$L78="Doing",2,IF(WBS!$L78="Blocked",4,IF(WBS!$L78="Deferred",5,1)))),""))</f>
        <v/>
      </c>
      <c r="G78" s="58" t="str">
        <f>IF(OR(WBS!$F78="",WBS!$T78=""),"",IF(AND(2&gt;=WBS!$F78,2&lt;=WBS!$T78),IF(WBS!$L78="Done",3,IF(WBS!$L78="Doing",2,IF(WBS!$L78="Blocked",4,IF(WBS!$L78="Deferred",5,1)))),""))</f>
        <v/>
      </c>
      <c r="H78" s="58" t="str">
        <f>IF(OR(WBS!$F78="",WBS!$T78=""),"",IF(AND(3&gt;=WBS!$F78,3&lt;=WBS!$T78),IF(WBS!$L78="Done",3,IF(WBS!$L78="Doing",2,IF(WBS!$L78="Blocked",4,IF(WBS!$L78="Deferred",5,1)))),""))</f>
        <v/>
      </c>
      <c r="I78" s="58" t="str">
        <f>IF(OR(WBS!$F78="",WBS!$T78=""),"",IF(AND(4&gt;=WBS!$F78,4&lt;=WBS!$T78),IF(WBS!$L78="Done",3,IF(WBS!$L78="Doing",2,IF(WBS!$L78="Blocked",4,IF(WBS!$L78="Deferred",5,1)))),""))</f>
        <v/>
      </c>
      <c r="J78" s="58" t="str">
        <f>IF(OR(WBS!$F78="",WBS!$T78=""),"",IF(AND(5&gt;=WBS!$F78,5&lt;=WBS!$T78),IF(WBS!$L78="Done",3,IF(WBS!$L78="Doing",2,IF(WBS!$L78="Blocked",4,IF(WBS!$L78="Deferred",5,1)))),""))</f>
        <v/>
      </c>
      <c r="K78" s="58" t="str">
        <f>IF(OR(WBS!$F78="",WBS!$T78=""),"",IF(AND(6&gt;=WBS!$F78,6&lt;=WBS!$T78),IF(WBS!$L78="Done",3,IF(WBS!$L78="Doing",2,IF(WBS!$L78="Blocked",4,IF(WBS!$L78="Deferred",5,1)))),""))</f>
        <v/>
      </c>
      <c r="L78" s="58" t="str">
        <f>IF(OR(WBS!$F78="",WBS!$T78=""),"",IF(AND(7&gt;=WBS!$F78,7&lt;=WBS!$T78),IF(WBS!$L78="Done",3,IF(WBS!$L78="Doing",2,IF(WBS!$L78="Blocked",4,IF(WBS!$L78="Deferred",5,1)))),""))</f>
        <v/>
      </c>
      <c r="M78" s="58" t="str">
        <f>IF(OR(WBS!$F78="",WBS!$T78=""),"",IF(AND(8&gt;=WBS!$F78,8&lt;=WBS!$T78),IF(WBS!$L78="Done",3,IF(WBS!$L78="Doing",2,IF(WBS!$L78="Blocked",4,IF(WBS!$L78="Deferred",5,1)))),""))</f>
        <v/>
      </c>
      <c r="N78" s="58" t="str">
        <f>IF(OR(WBS!$F78="",WBS!$T78=""),"",IF(AND(9&gt;=WBS!$F78,9&lt;=WBS!$T78),IF(WBS!$L78="Done",3,IF(WBS!$L78="Doing",2,IF(WBS!$L78="Blocked",4,IF(WBS!$L78="Deferred",5,1)))),""))</f>
        <v/>
      </c>
      <c r="O78" s="58" t="str">
        <f>IF(OR(WBS!$F78="",WBS!$T78=""),"",IF(AND(10&gt;=WBS!$F78,10&lt;=WBS!$T78),IF(WBS!$L78="Done",3,IF(WBS!$L78="Doing",2,IF(WBS!$L78="Blocked",4,IF(WBS!$L78="Deferred",5,1)))),""))</f>
        <v/>
      </c>
      <c r="P78" s="58">
        <f>IF(OR(WBS!$F78="",WBS!$T78=""),"",IF(AND(11&gt;=WBS!$F78,11&lt;=WBS!$T78),IF(WBS!$L78="Done",3,IF(WBS!$L78="Doing",2,IF(WBS!$L78="Blocked",4,IF(WBS!$L78="Deferred",5,1)))),""))</f>
        <v>1</v>
      </c>
      <c r="Q78" s="58" t="str">
        <f>IF(OR(WBS!$F78="",WBS!$T78=""),"",IF(AND(12&gt;=WBS!$F78,12&lt;=WBS!$T78),IF(WBS!$L78="Done",3,IF(WBS!$L78="Doing",2,IF(WBS!$L78="Blocked",4,IF(WBS!$L78="Deferred",5,1)))),""))</f>
        <v/>
      </c>
      <c r="R78" s="58" t="str">
        <f>IF(OR(WBS!$F78="",WBS!$T78=""),"",IF(AND(13&gt;=WBS!$F78,13&lt;=WBS!$T78),IF(WBS!$L78="Done",3,IF(WBS!$L78="Doing",2,IF(WBS!$L78="Blocked",4,IF(WBS!$L78="Deferred",5,1)))),""))</f>
        <v/>
      </c>
      <c r="S78" s="58" t="str">
        <f>IF(OR(WBS!$F78="",WBS!$T78=""),"",IF(AND(14&gt;=WBS!$F78,14&lt;=WBS!$T78),IF(WBS!$L78="Done",3,IF(WBS!$L78="Doing",2,IF(WBS!$L78="Blocked",4,IF(WBS!$L78="Deferred",5,1)))),""))</f>
        <v/>
      </c>
      <c r="T78" s="58" t="str">
        <f>IF(OR(WBS!$F78="",WBS!$T78=""),"",IF(AND(15&gt;=WBS!$F78,15&lt;=WBS!$T78),IF(WBS!$L78="Done",3,IF(WBS!$L78="Doing",2,IF(WBS!$L78="Blocked",4,IF(WBS!$L78="Deferred",5,1)))),""))</f>
        <v/>
      </c>
      <c r="U78" s="58" t="str">
        <f>IF(OR(WBS!$F78="",WBS!$T78=""),"",IF(AND(16&gt;=WBS!$F78,16&lt;=WBS!$T78),IF(WBS!$L78="Done",3,IF(WBS!$L78="Doing",2,IF(WBS!$L78="Blocked",4,IF(WBS!$L78="Deferred",5,1)))),""))</f>
        <v/>
      </c>
      <c r="V78" s="58" t="str">
        <f>IF(OR(WBS!$F78="",WBS!$T78=""),"",IF(AND(17&gt;=WBS!$F78,17&lt;=WBS!$T78),IF(WBS!$L78="Done",3,IF(WBS!$L78="Doing",2,IF(WBS!$L78="Blocked",4,IF(WBS!$L78="Deferred",5,1)))),""))</f>
        <v/>
      </c>
      <c r="W78" s="58" t="str">
        <f>IF(OR(WBS!$F78="",WBS!$T78=""),"",IF(AND(18&gt;=WBS!$F78,18&lt;=WBS!$T78),IF(WBS!$L78="Done",3,IF(WBS!$L78="Doing",2,IF(WBS!$L78="Blocked",4,IF(WBS!$L78="Deferred",5,1)))),""))</f>
        <v/>
      </c>
      <c r="X78" s="58" t="str">
        <f>IF(OR(WBS!$F78="",WBS!$T78=""),"",IF(AND(19&gt;=WBS!$F78,19&lt;=WBS!$T78),IF(WBS!$L78="Done",3,IF(WBS!$L78="Doing",2,IF(WBS!$L78="Blocked",4,IF(WBS!$L78="Deferred",5,1)))),""))</f>
        <v/>
      </c>
      <c r="Y78" s="58" t="str">
        <f>IF(OR(WBS!$F78="",WBS!$T78=""),"",IF(AND(20&gt;=WBS!$F78,20&lt;=WBS!$T78),IF(WBS!$L78="Done",3,IF(WBS!$L78="Doing",2,IF(WBS!$L78="Blocked",4,IF(WBS!$L78="Deferred",5,1)))),""))</f>
        <v/>
      </c>
      <c r="Z78" s="58" t="str">
        <f>IF(OR(WBS!$F78="",WBS!$T78=""),"",IF(AND(21&gt;=WBS!$F78,21&lt;=WBS!$T78),IF(WBS!$L78="Done",3,IF(WBS!$L78="Doing",2,IF(WBS!$L78="Blocked",4,IF(WBS!$L78="Deferred",5,1)))),""))</f>
        <v/>
      </c>
    </row>
    <row r="79" spans="1:26" x14ac:dyDescent="0.3">
      <c r="A79" s="64" t="str">
        <f>WBS!$A79</f>
        <v>5.2.3</v>
      </c>
      <c r="B79" s="65" t="str">
        <f>WBS!$C79</f>
        <v xml:space="preserve">        Punctuality report with export</v>
      </c>
      <c r="C79" s="66" t="str">
        <f>IF(WBS!$E79="","",WBS!$E79)</f>
        <v>WEB</v>
      </c>
      <c r="D79" s="67">
        <f>WBS!$J79</f>
        <v>1</v>
      </c>
      <c r="E79" s="68">
        <f>WBS!$M79</f>
        <v>0</v>
      </c>
      <c r="F79" s="58" t="str">
        <f>IF(OR(WBS!$F79="",WBS!$T79=""),"",IF(AND(1&gt;=WBS!$F79,1&lt;=WBS!$T79),IF(WBS!$L79="Done",3,IF(WBS!$L79="Doing",2,IF(WBS!$L79="Blocked",4,IF(WBS!$L79="Deferred",5,1)))),""))</f>
        <v/>
      </c>
      <c r="G79" s="58" t="str">
        <f>IF(OR(WBS!$F79="",WBS!$T79=""),"",IF(AND(2&gt;=WBS!$F79,2&lt;=WBS!$T79),IF(WBS!$L79="Done",3,IF(WBS!$L79="Doing",2,IF(WBS!$L79="Blocked",4,IF(WBS!$L79="Deferred",5,1)))),""))</f>
        <v/>
      </c>
      <c r="H79" s="58" t="str">
        <f>IF(OR(WBS!$F79="",WBS!$T79=""),"",IF(AND(3&gt;=WBS!$F79,3&lt;=WBS!$T79),IF(WBS!$L79="Done",3,IF(WBS!$L79="Doing",2,IF(WBS!$L79="Blocked",4,IF(WBS!$L79="Deferred",5,1)))),""))</f>
        <v/>
      </c>
      <c r="I79" s="58" t="str">
        <f>IF(OR(WBS!$F79="",WBS!$T79=""),"",IF(AND(4&gt;=WBS!$F79,4&lt;=WBS!$T79),IF(WBS!$L79="Done",3,IF(WBS!$L79="Doing",2,IF(WBS!$L79="Blocked",4,IF(WBS!$L79="Deferred",5,1)))),""))</f>
        <v/>
      </c>
      <c r="J79" s="58" t="str">
        <f>IF(OR(WBS!$F79="",WBS!$T79=""),"",IF(AND(5&gt;=WBS!$F79,5&lt;=WBS!$T79),IF(WBS!$L79="Done",3,IF(WBS!$L79="Doing",2,IF(WBS!$L79="Blocked",4,IF(WBS!$L79="Deferred",5,1)))),""))</f>
        <v/>
      </c>
      <c r="K79" s="58" t="str">
        <f>IF(OR(WBS!$F79="",WBS!$T79=""),"",IF(AND(6&gt;=WBS!$F79,6&lt;=WBS!$T79),IF(WBS!$L79="Done",3,IF(WBS!$L79="Doing",2,IF(WBS!$L79="Blocked",4,IF(WBS!$L79="Deferred",5,1)))),""))</f>
        <v/>
      </c>
      <c r="L79" s="58" t="str">
        <f>IF(OR(WBS!$F79="",WBS!$T79=""),"",IF(AND(7&gt;=WBS!$F79,7&lt;=WBS!$T79),IF(WBS!$L79="Done",3,IF(WBS!$L79="Doing",2,IF(WBS!$L79="Blocked",4,IF(WBS!$L79="Deferred",5,1)))),""))</f>
        <v/>
      </c>
      <c r="M79" s="58" t="str">
        <f>IF(OR(WBS!$F79="",WBS!$T79=""),"",IF(AND(8&gt;=WBS!$F79,8&lt;=WBS!$T79),IF(WBS!$L79="Done",3,IF(WBS!$L79="Doing",2,IF(WBS!$L79="Blocked",4,IF(WBS!$L79="Deferred",5,1)))),""))</f>
        <v/>
      </c>
      <c r="N79" s="58" t="str">
        <f>IF(OR(WBS!$F79="",WBS!$T79=""),"",IF(AND(9&gt;=WBS!$F79,9&lt;=WBS!$T79),IF(WBS!$L79="Done",3,IF(WBS!$L79="Doing",2,IF(WBS!$L79="Blocked",4,IF(WBS!$L79="Deferred",5,1)))),""))</f>
        <v/>
      </c>
      <c r="O79" s="58" t="str">
        <f>IF(OR(WBS!$F79="",WBS!$T79=""),"",IF(AND(10&gt;=WBS!$F79,10&lt;=WBS!$T79),IF(WBS!$L79="Done",3,IF(WBS!$L79="Doing",2,IF(WBS!$L79="Blocked",4,IF(WBS!$L79="Deferred",5,1)))),""))</f>
        <v/>
      </c>
      <c r="P79" s="58">
        <f>IF(OR(WBS!$F79="",WBS!$T79=""),"",IF(AND(11&gt;=WBS!$F79,11&lt;=WBS!$T79),IF(WBS!$L79="Done",3,IF(WBS!$L79="Doing",2,IF(WBS!$L79="Blocked",4,IF(WBS!$L79="Deferred",5,1)))),""))</f>
        <v>1</v>
      </c>
      <c r="Q79" s="58" t="str">
        <f>IF(OR(WBS!$F79="",WBS!$T79=""),"",IF(AND(12&gt;=WBS!$F79,12&lt;=WBS!$T79),IF(WBS!$L79="Done",3,IF(WBS!$L79="Doing",2,IF(WBS!$L79="Blocked",4,IF(WBS!$L79="Deferred",5,1)))),""))</f>
        <v/>
      </c>
      <c r="R79" s="58" t="str">
        <f>IF(OR(WBS!$F79="",WBS!$T79=""),"",IF(AND(13&gt;=WBS!$F79,13&lt;=WBS!$T79),IF(WBS!$L79="Done",3,IF(WBS!$L79="Doing",2,IF(WBS!$L79="Blocked",4,IF(WBS!$L79="Deferred",5,1)))),""))</f>
        <v/>
      </c>
      <c r="S79" s="58" t="str">
        <f>IF(OR(WBS!$F79="",WBS!$T79=""),"",IF(AND(14&gt;=WBS!$F79,14&lt;=WBS!$T79),IF(WBS!$L79="Done",3,IF(WBS!$L79="Doing",2,IF(WBS!$L79="Blocked",4,IF(WBS!$L79="Deferred",5,1)))),""))</f>
        <v/>
      </c>
      <c r="T79" s="58" t="str">
        <f>IF(OR(WBS!$F79="",WBS!$T79=""),"",IF(AND(15&gt;=WBS!$F79,15&lt;=WBS!$T79),IF(WBS!$L79="Done",3,IF(WBS!$L79="Doing",2,IF(WBS!$L79="Blocked",4,IF(WBS!$L79="Deferred",5,1)))),""))</f>
        <v/>
      </c>
      <c r="U79" s="58" t="str">
        <f>IF(OR(WBS!$F79="",WBS!$T79=""),"",IF(AND(16&gt;=WBS!$F79,16&lt;=WBS!$T79),IF(WBS!$L79="Done",3,IF(WBS!$L79="Doing",2,IF(WBS!$L79="Blocked",4,IF(WBS!$L79="Deferred",5,1)))),""))</f>
        <v/>
      </c>
      <c r="V79" s="58" t="str">
        <f>IF(OR(WBS!$F79="",WBS!$T79=""),"",IF(AND(17&gt;=WBS!$F79,17&lt;=WBS!$T79),IF(WBS!$L79="Done",3,IF(WBS!$L79="Doing",2,IF(WBS!$L79="Blocked",4,IF(WBS!$L79="Deferred",5,1)))),""))</f>
        <v/>
      </c>
      <c r="W79" s="58" t="str">
        <f>IF(OR(WBS!$F79="",WBS!$T79=""),"",IF(AND(18&gt;=WBS!$F79,18&lt;=WBS!$T79),IF(WBS!$L79="Done",3,IF(WBS!$L79="Doing",2,IF(WBS!$L79="Blocked",4,IF(WBS!$L79="Deferred",5,1)))),""))</f>
        <v/>
      </c>
      <c r="X79" s="58" t="str">
        <f>IF(OR(WBS!$F79="",WBS!$T79=""),"",IF(AND(19&gt;=WBS!$F79,19&lt;=WBS!$T79),IF(WBS!$L79="Done",3,IF(WBS!$L79="Doing",2,IF(WBS!$L79="Blocked",4,IF(WBS!$L79="Deferred",5,1)))),""))</f>
        <v/>
      </c>
      <c r="Y79" s="58" t="str">
        <f>IF(OR(WBS!$F79="",WBS!$T79=""),"",IF(AND(20&gt;=WBS!$F79,20&lt;=WBS!$T79),IF(WBS!$L79="Done",3,IF(WBS!$L79="Doing",2,IF(WBS!$L79="Blocked",4,IF(WBS!$L79="Deferred",5,1)))),""))</f>
        <v/>
      </c>
      <c r="Z79" s="58" t="str">
        <f>IF(OR(WBS!$F79="",WBS!$T79=""),"",IF(AND(21&gt;=WBS!$F79,21&lt;=WBS!$T79),IF(WBS!$L79="Done",3,IF(WBS!$L79="Doing",2,IF(WBS!$L79="Blocked",4,IF(WBS!$L79="Deferred",5,1)))),""))</f>
        <v/>
      </c>
    </row>
    <row r="80" spans="1:26" x14ac:dyDescent="0.3">
      <c r="A80" s="59" t="str">
        <f>WBS!$A80</f>
        <v>5.3</v>
      </c>
      <c r="B80" s="60" t="str">
        <f>WBS!$C80</f>
        <v xml:space="preserve">    Station kiosk display</v>
      </c>
      <c r="C80" s="61" t="str">
        <f>IF(WBS!$E80="","",WBS!$E80)</f>
        <v/>
      </c>
      <c r="D80" s="62">
        <f>WBS!$J80</f>
        <v>3</v>
      </c>
      <c r="E80" s="63">
        <f>WBS!$M80</f>
        <v>0</v>
      </c>
      <c r="F80" s="58" t="str">
        <f>IF(OR(WBS!$F80="",WBS!$T80=""),"",IF(AND(1&gt;=WBS!$F80,1&lt;=WBS!$T80),IF(WBS!$L80="Done",3,IF(WBS!$L80="Doing",2,IF(WBS!$L80="Blocked",4,IF(WBS!$L80="Deferred",5,1)))),""))</f>
        <v/>
      </c>
      <c r="G80" s="58" t="str">
        <f>IF(OR(WBS!$F80="",WBS!$T80=""),"",IF(AND(2&gt;=WBS!$F80,2&lt;=WBS!$T80),IF(WBS!$L80="Done",3,IF(WBS!$L80="Doing",2,IF(WBS!$L80="Blocked",4,IF(WBS!$L80="Deferred",5,1)))),""))</f>
        <v/>
      </c>
      <c r="H80" s="58" t="str">
        <f>IF(OR(WBS!$F80="",WBS!$T80=""),"",IF(AND(3&gt;=WBS!$F80,3&lt;=WBS!$T80),IF(WBS!$L80="Done",3,IF(WBS!$L80="Doing",2,IF(WBS!$L80="Blocked",4,IF(WBS!$L80="Deferred",5,1)))),""))</f>
        <v/>
      </c>
      <c r="I80" s="58" t="str">
        <f>IF(OR(WBS!$F80="",WBS!$T80=""),"",IF(AND(4&gt;=WBS!$F80,4&lt;=WBS!$T80),IF(WBS!$L80="Done",3,IF(WBS!$L80="Doing",2,IF(WBS!$L80="Blocked",4,IF(WBS!$L80="Deferred",5,1)))),""))</f>
        <v/>
      </c>
      <c r="J80" s="58" t="str">
        <f>IF(OR(WBS!$F80="",WBS!$T80=""),"",IF(AND(5&gt;=WBS!$F80,5&lt;=WBS!$T80),IF(WBS!$L80="Done",3,IF(WBS!$L80="Doing",2,IF(WBS!$L80="Blocked",4,IF(WBS!$L80="Deferred",5,1)))),""))</f>
        <v/>
      </c>
      <c r="K80" s="58" t="str">
        <f>IF(OR(WBS!$F80="",WBS!$T80=""),"",IF(AND(6&gt;=WBS!$F80,6&lt;=WBS!$T80),IF(WBS!$L80="Done",3,IF(WBS!$L80="Doing",2,IF(WBS!$L80="Blocked",4,IF(WBS!$L80="Deferred",5,1)))),""))</f>
        <v/>
      </c>
      <c r="L80" s="58" t="str">
        <f>IF(OR(WBS!$F80="",WBS!$T80=""),"",IF(AND(7&gt;=WBS!$F80,7&lt;=WBS!$T80),IF(WBS!$L80="Done",3,IF(WBS!$L80="Doing",2,IF(WBS!$L80="Blocked",4,IF(WBS!$L80="Deferred",5,1)))),""))</f>
        <v/>
      </c>
      <c r="M80" s="58" t="str">
        <f>IF(OR(WBS!$F80="",WBS!$T80=""),"",IF(AND(8&gt;=WBS!$F80,8&lt;=WBS!$T80),IF(WBS!$L80="Done",3,IF(WBS!$L80="Doing",2,IF(WBS!$L80="Blocked",4,IF(WBS!$L80="Deferred",5,1)))),""))</f>
        <v/>
      </c>
      <c r="N80" s="58" t="str">
        <f>IF(OR(WBS!$F80="",WBS!$T80=""),"",IF(AND(9&gt;=WBS!$F80,9&lt;=WBS!$T80),IF(WBS!$L80="Done",3,IF(WBS!$L80="Doing",2,IF(WBS!$L80="Blocked",4,IF(WBS!$L80="Deferred",5,1)))),""))</f>
        <v/>
      </c>
      <c r="O80" s="58" t="str">
        <f>IF(OR(WBS!$F80="",WBS!$T80=""),"",IF(AND(10&gt;=WBS!$F80,10&lt;=WBS!$T80),IF(WBS!$L80="Done",3,IF(WBS!$L80="Doing",2,IF(WBS!$L80="Blocked",4,IF(WBS!$L80="Deferred",5,1)))),""))</f>
        <v/>
      </c>
      <c r="P80" s="58">
        <f>IF(OR(WBS!$F80="",WBS!$T80=""),"",IF(AND(11&gt;=WBS!$F80,11&lt;=WBS!$T80),IF(WBS!$L80="Done",3,IF(WBS!$L80="Doing",2,IF(WBS!$L80="Blocked",4,IF(WBS!$L80="Deferred",5,1)))),""))</f>
        <v>1</v>
      </c>
      <c r="Q80" s="58" t="str">
        <f>IF(OR(WBS!$F80="",WBS!$T80=""),"",IF(AND(12&gt;=WBS!$F80,12&lt;=WBS!$T80),IF(WBS!$L80="Done",3,IF(WBS!$L80="Doing",2,IF(WBS!$L80="Blocked",4,IF(WBS!$L80="Deferred",5,1)))),""))</f>
        <v/>
      </c>
      <c r="R80" s="58" t="str">
        <f>IF(OR(WBS!$F80="",WBS!$T80=""),"",IF(AND(13&gt;=WBS!$F80,13&lt;=WBS!$T80),IF(WBS!$L80="Done",3,IF(WBS!$L80="Doing",2,IF(WBS!$L80="Blocked",4,IF(WBS!$L80="Deferred",5,1)))),""))</f>
        <v/>
      </c>
      <c r="S80" s="58" t="str">
        <f>IF(OR(WBS!$F80="",WBS!$T80=""),"",IF(AND(14&gt;=WBS!$F80,14&lt;=WBS!$T80),IF(WBS!$L80="Done",3,IF(WBS!$L80="Doing",2,IF(WBS!$L80="Blocked",4,IF(WBS!$L80="Deferred",5,1)))),""))</f>
        <v/>
      </c>
      <c r="T80" s="58" t="str">
        <f>IF(OR(WBS!$F80="",WBS!$T80=""),"",IF(AND(15&gt;=WBS!$F80,15&lt;=WBS!$T80),IF(WBS!$L80="Done",3,IF(WBS!$L80="Doing",2,IF(WBS!$L80="Blocked",4,IF(WBS!$L80="Deferred",5,1)))),""))</f>
        <v/>
      </c>
      <c r="U80" s="58" t="str">
        <f>IF(OR(WBS!$F80="",WBS!$T80=""),"",IF(AND(16&gt;=WBS!$F80,16&lt;=WBS!$T80),IF(WBS!$L80="Done",3,IF(WBS!$L80="Doing",2,IF(WBS!$L80="Blocked",4,IF(WBS!$L80="Deferred",5,1)))),""))</f>
        <v/>
      </c>
      <c r="V80" s="58" t="str">
        <f>IF(OR(WBS!$F80="",WBS!$T80=""),"",IF(AND(17&gt;=WBS!$F80,17&lt;=WBS!$T80),IF(WBS!$L80="Done",3,IF(WBS!$L80="Doing",2,IF(WBS!$L80="Blocked",4,IF(WBS!$L80="Deferred",5,1)))),""))</f>
        <v/>
      </c>
      <c r="W80" s="58" t="str">
        <f>IF(OR(WBS!$F80="",WBS!$T80=""),"",IF(AND(18&gt;=WBS!$F80,18&lt;=WBS!$T80),IF(WBS!$L80="Done",3,IF(WBS!$L80="Doing",2,IF(WBS!$L80="Blocked",4,IF(WBS!$L80="Deferred",5,1)))),""))</f>
        <v/>
      </c>
      <c r="X80" s="58" t="str">
        <f>IF(OR(WBS!$F80="",WBS!$T80=""),"",IF(AND(19&gt;=WBS!$F80,19&lt;=WBS!$T80),IF(WBS!$L80="Done",3,IF(WBS!$L80="Doing",2,IF(WBS!$L80="Blocked",4,IF(WBS!$L80="Deferred",5,1)))),""))</f>
        <v/>
      </c>
      <c r="Y80" s="58" t="str">
        <f>IF(OR(WBS!$F80="",WBS!$T80=""),"",IF(AND(20&gt;=WBS!$F80,20&lt;=WBS!$T80),IF(WBS!$L80="Done",3,IF(WBS!$L80="Doing",2,IF(WBS!$L80="Blocked",4,IF(WBS!$L80="Deferred",5,1)))),""))</f>
        <v/>
      </c>
      <c r="Z80" s="58" t="str">
        <f>IF(OR(WBS!$F80="",WBS!$T80=""),"",IF(AND(21&gt;=WBS!$F80,21&lt;=WBS!$T80),IF(WBS!$L80="Done",3,IF(WBS!$L80="Doing",2,IF(WBS!$L80="Blocked",4,IF(WBS!$L80="Deferred",5,1)))),""))</f>
        <v/>
      </c>
    </row>
    <row r="81" spans="1:26" x14ac:dyDescent="0.3">
      <c r="A81" s="64" t="str">
        <f>WBS!$A81</f>
        <v>5.3.1</v>
      </c>
      <c r="B81" s="65" t="str">
        <f>WBS!$C81</f>
        <v xml:space="preserve">        Display mode - platform and concourse boards</v>
      </c>
      <c r="C81" s="66" t="str">
        <f>IF(WBS!$E81="","",WBS!$E81)</f>
        <v>KIOSK</v>
      </c>
      <c r="D81" s="67">
        <f>WBS!$J81</f>
        <v>2</v>
      </c>
      <c r="E81" s="68">
        <f>WBS!$M81</f>
        <v>0</v>
      </c>
      <c r="F81" s="58" t="str">
        <f>IF(OR(WBS!$F81="",WBS!$T81=""),"",IF(AND(1&gt;=WBS!$F81,1&lt;=WBS!$T81),IF(WBS!$L81="Done",3,IF(WBS!$L81="Doing",2,IF(WBS!$L81="Blocked",4,IF(WBS!$L81="Deferred",5,1)))),""))</f>
        <v/>
      </c>
      <c r="G81" s="58" t="str">
        <f>IF(OR(WBS!$F81="",WBS!$T81=""),"",IF(AND(2&gt;=WBS!$F81,2&lt;=WBS!$T81),IF(WBS!$L81="Done",3,IF(WBS!$L81="Doing",2,IF(WBS!$L81="Blocked",4,IF(WBS!$L81="Deferred",5,1)))),""))</f>
        <v/>
      </c>
      <c r="H81" s="58" t="str">
        <f>IF(OR(WBS!$F81="",WBS!$T81=""),"",IF(AND(3&gt;=WBS!$F81,3&lt;=WBS!$T81),IF(WBS!$L81="Done",3,IF(WBS!$L81="Doing",2,IF(WBS!$L81="Blocked",4,IF(WBS!$L81="Deferred",5,1)))),""))</f>
        <v/>
      </c>
      <c r="I81" s="58" t="str">
        <f>IF(OR(WBS!$F81="",WBS!$T81=""),"",IF(AND(4&gt;=WBS!$F81,4&lt;=WBS!$T81),IF(WBS!$L81="Done",3,IF(WBS!$L81="Doing",2,IF(WBS!$L81="Blocked",4,IF(WBS!$L81="Deferred",5,1)))),""))</f>
        <v/>
      </c>
      <c r="J81" s="58" t="str">
        <f>IF(OR(WBS!$F81="",WBS!$T81=""),"",IF(AND(5&gt;=WBS!$F81,5&lt;=WBS!$T81),IF(WBS!$L81="Done",3,IF(WBS!$L81="Doing",2,IF(WBS!$L81="Blocked",4,IF(WBS!$L81="Deferred",5,1)))),""))</f>
        <v/>
      </c>
      <c r="K81" s="58" t="str">
        <f>IF(OR(WBS!$F81="",WBS!$T81=""),"",IF(AND(6&gt;=WBS!$F81,6&lt;=WBS!$T81),IF(WBS!$L81="Done",3,IF(WBS!$L81="Doing",2,IF(WBS!$L81="Blocked",4,IF(WBS!$L81="Deferred",5,1)))),""))</f>
        <v/>
      </c>
      <c r="L81" s="58" t="str">
        <f>IF(OR(WBS!$F81="",WBS!$T81=""),"",IF(AND(7&gt;=WBS!$F81,7&lt;=WBS!$T81),IF(WBS!$L81="Done",3,IF(WBS!$L81="Doing",2,IF(WBS!$L81="Blocked",4,IF(WBS!$L81="Deferred",5,1)))),""))</f>
        <v/>
      </c>
      <c r="M81" s="58" t="str">
        <f>IF(OR(WBS!$F81="",WBS!$T81=""),"",IF(AND(8&gt;=WBS!$F81,8&lt;=WBS!$T81),IF(WBS!$L81="Done",3,IF(WBS!$L81="Doing",2,IF(WBS!$L81="Blocked",4,IF(WBS!$L81="Deferred",5,1)))),""))</f>
        <v/>
      </c>
      <c r="N81" s="58" t="str">
        <f>IF(OR(WBS!$F81="",WBS!$T81=""),"",IF(AND(9&gt;=WBS!$F81,9&lt;=WBS!$T81),IF(WBS!$L81="Done",3,IF(WBS!$L81="Doing",2,IF(WBS!$L81="Blocked",4,IF(WBS!$L81="Deferred",5,1)))),""))</f>
        <v/>
      </c>
      <c r="O81" s="58" t="str">
        <f>IF(OR(WBS!$F81="",WBS!$T81=""),"",IF(AND(10&gt;=WBS!$F81,10&lt;=WBS!$T81),IF(WBS!$L81="Done",3,IF(WBS!$L81="Doing",2,IF(WBS!$L81="Blocked",4,IF(WBS!$L81="Deferred",5,1)))),""))</f>
        <v/>
      </c>
      <c r="P81" s="58">
        <f>IF(OR(WBS!$F81="",WBS!$T81=""),"",IF(AND(11&gt;=WBS!$F81,11&lt;=WBS!$T81),IF(WBS!$L81="Done",3,IF(WBS!$L81="Doing",2,IF(WBS!$L81="Blocked",4,IF(WBS!$L81="Deferred",5,1)))),""))</f>
        <v>1</v>
      </c>
      <c r="Q81" s="58" t="str">
        <f>IF(OR(WBS!$F81="",WBS!$T81=""),"",IF(AND(12&gt;=WBS!$F81,12&lt;=WBS!$T81),IF(WBS!$L81="Done",3,IF(WBS!$L81="Doing",2,IF(WBS!$L81="Blocked",4,IF(WBS!$L81="Deferred",5,1)))),""))</f>
        <v/>
      </c>
      <c r="R81" s="58" t="str">
        <f>IF(OR(WBS!$F81="",WBS!$T81=""),"",IF(AND(13&gt;=WBS!$F81,13&lt;=WBS!$T81),IF(WBS!$L81="Done",3,IF(WBS!$L81="Doing",2,IF(WBS!$L81="Blocked",4,IF(WBS!$L81="Deferred",5,1)))),""))</f>
        <v/>
      </c>
      <c r="S81" s="58" t="str">
        <f>IF(OR(WBS!$F81="",WBS!$T81=""),"",IF(AND(14&gt;=WBS!$F81,14&lt;=WBS!$T81),IF(WBS!$L81="Done",3,IF(WBS!$L81="Doing",2,IF(WBS!$L81="Blocked",4,IF(WBS!$L81="Deferred",5,1)))),""))</f>
        <v/>
      </c>
      <c r="T81" s="58" t="str">
        <f>IF(OR(WBS!$F81="",WBS!$T81=""),"",IF(AND(15&gt;=WBS!$F81,15&lt;=WBS!$T81),IF(WBS!$L81="Done",3,IF(WBS!$L81="Doing",2,IF(WBS!$L81="Blocked",4,IF(WBS!$L81="Deferred",5,1)))),""))</f>
        <v/>
      </c>
      <c r="U81" s="58" t="str">
        <f>IF(OR(WBS!$F81="",WBS!$T81=""),"",IF(AND(16&gt;=WBS!$F81,16&lt;=WBS!$T81),IF(WBS!$L81="Done",3,IF(WBS!$L81="Doing",2,IF(WBS!$L81="Blocked",4,IF(WBS!$L81="Deferred",5,1)))),""))</f>
        <v/>
      </c>
      <c r="V81" s="58" t="str">
        <f>IF(OR(WBS!$F81="",WBS!$T81=""),"",IF(AND(17&gt;=WBS!$F81,17&lt;=WBS!$T81),IF(WBS!$L81="Done",3,IF(WBS!$L81="Doing",2,IF(WBS!$L81="Blocked",4,IF(WBS!$L81="Deferred",5,1)))),""))</f>
        <v/>
      </c>
      <c r="W81" s="58" t="str">
        <f>IF(OR(WBS!$F81="",WBS!$T81=""),"",IF(AND(18&gt;=WBS!$F81,18&lt;=WBS!$T81),IF(WBS!$L81="Done",3,IF(WBS!$L81="Doing",2,IF(WBS!$L81="Blocked",4,IF(WBS!$L81="Deferred",5,1)))),""))</f>
        <v/>
      </c>
      <c r="X81" s="58" t="str">
        <f>IF(OR(WBS!$F81="",WBS!$T81=""),"",IF(AND(19&gt;=WBS!$F81,19&lt;=WBS!$T81),IF(WBS!$L81="Done",3,IF(WBS!$L81="Doing",2,IF(WBS!$L81="Blocked",4,IF(WBS!$L81="Deferred",5,1)))),""))</f>
        <v/>
      </c>
      <c r="Y81" s="58" t="str">
        <f>IF(OR(WBS!$F81="",WBS!$T81=""),"",IF(AND(20&gt;=WBS!$F81,20&lt;=WBS!$T81),IF(WBS!$L81="Done",3,IF(WBS!$L81="Doing",2,IF(WBS!$L81="Blocked",4,IF(WBS!$L81="Deferred",5,1)))),""))</f>
        <v/>
      </c>
      <c r="Z81" s="58" t="str">
        <f>IF(OR(WBS!$F81="",WBS!$T81=""),"",IF(AND(21&gt;=WBS!$F81,21&lt;=WBS!$T81),IF(WBS!$L81="Done",3,IF(WBS!$L81="Doing",2,IF(WBS!$L81="Blocked",4,IF(WBS!$L81="Deferred",5,1)))),""))</f>
        <v/>
      </c>
    </row>
    <row r="82" spans="1:26" x14ac:dyDescent="0.3">
      <c r="A82" s="64" t="str">
        <f>WBS!$A82</f>
        <v>5.3.2</v>
      </c>
      <c r="B82" s="65" t="str">
        <f>WBS!$C82</f>
        <v xml:space="preserve">        Service worker last-known-good snapshot and staleness banner</v>
      </c>
      <c r="C82" s="66" t="str">
        <f>IF(WBS!$E82="","",WBS!$E82)</f>
        <v>KIOSK</v>
      </c>
      <c r="D82" s="67">
        <f>WBS!$J82</f>
        <v>1</v>
      </c>
      <c r="E82" s="68">
        <f>WBS!$M82</f>
        <v>0</v>
      </c>
      <c r="F82" s="58" t="str">
        <f>IF(OR(WBS!$F82="",WBS!$T82=""),"",IF(AND(1&gt;=WBS!$F82,1&lt;=WBS!$T82),IF(WBS!$L82="Done",3,IF(WBS!$L82="Doing",2,IF(WBS!$L82="Blocked",4,IF(WBS!$L82="Deferred",5,1)))),""))</f>
        <v/>
      </c>
      <c r="G82" s="58" t="str">
        <f>IF(OR(WBS!$F82="",WBS!$T82=""),"",IF(AND(2&gt;=WBS!$F82,2&lt;=WBS!$T82),IF(WBS!$L82="Done",3,IF(WBS!$L82="Doing",2,IF(WBS!$L82="Blocked",4,IF(WBS!$L82="Deferred",5,1)))),""))</f>
        <v/>
      </c>
      <c r="H82" s="58" t="str">
        <f>IF(OR(WBS!$F82="",WBS!$T82=""),"",IF(AND(3&gt;=WBS!$F82,3&lt;=WBS!$T82),IF(WBS!$L82="Done",3,IF(WBS!$L82="Doing",2,IF(WBS!$L82="Blocked",4,IF(WBS!$L82="Deferred",5,1)))),""))</f>
        <v/>
      </c>
      <c r="I82" s="58" t="str">
        <f>IF(OR(WBS!$F82="",WBS!$T82=""),"",IF(AND(4&gt;=WBS!$F82,4&lt;=WBS!$T82),IF(WBS!$L82="Done",3,IF(WBS!$L82="Doing",2,IF(WBS!$L82="Blocked",4,IF(WBS!$L82="Deferred",5,1)))),""))</f>
        <v/>
      </c>
      <c r="J82" s="58" t="str">
        <f>IF(OR(WBS!$F82="",WBS!$T82=""),"",IF(AND(5&gt;=WBS!$F82,5&lt;=WBS!$T82),IF(WBS!$L82="Done",3,IF(WBS!$L82="Doing",2,IF(WBS!$L82="Blocked",4,IF(WBS!$L82="Deferred",5,1)))),""))</f>
        <v/>
      </c>
      <c r="K82" s="58" t="str">
        <f>IF(OR(WBS!$F82="",WBS!$T82=""),"",IF(AND(6&gt;=WBS!$F82,6&lt;=WBS!$T82),IF(WBS!$L82="Done",3,IF(WBS!$L82="Doing",2,IF(WBS!$L82="Blocked",4,IF(WBS!$L82="Deferred",5,1)))),""))</f>
        <v/>
      </c>
      <c r="L82" s="58" t="str">
        <f>IF(OR(WBS!$F82="",WBS!$T82=""),"",IF(AND(7&gt;=WBS!$F82,7&lt;=WBS!$T82),IF(WBS!$L82="Done",3,IF(WBS!$L82="Doing",2,IF(WBS!$L82="Blocked",4,IF(WBS!$L82="Deferred",5,1)))),""))</f>
        <v/>
      </c>
      <c r="M82" s="58" t="str">
        <f>IF(OR(WBS!$F82="",WBS!$T82=""),"",IF(AND(8&gt;=WBS!$F82,8&lt;=WBS!$T82),IF(WBS!$L82="Done",3,IF(WBS!$L82="Doing",2,IF(WBS!$L82="Blocked",4,IF(WBS!$L82="Deferred",5,1)))),""))</f>
        <v/>
      </c>
      <c r="N82" s="58" t="str">
        <f>IF(OR(WBS!$F82="",WBS!$T82=""),"",IF(AND(9&gt;=WBS!$F82,9&lt;=WBS!$T82),IF(WBS!$L82="Done",3,IF(WBS!$L82="Doing",2,IF(WBS!$L82="Blocked",4,IF(WBS!$L82="Deferred",5,1)))),""))</f>
        <v/>
      </c>
      <c r="O82" s="58" t="str">
        <f>IF(OR(WBS!$F82="",WBS!$T82=""),"",IF(AND(10&gt;=WBS!$F82,10&lt;=WBS!$T82),IF(WBS!$L82="Done",3,IF(WBS!$L82="Doing",2,IF(WBS!$L82="Blocked",4,IF(WBS!$L82="Deferred",5,1)))),""))</f>
        <v/>
      </c>
      <c r="P82" s="58">
        <f>IF(OR(WBS!$F82="",WBS!$T82=""),"",IF(AND(11&gt;=WBS!$F82,11&lt;=WBS!$T82),IF(WBS!$L82="Done",3,IF(WBS!$L82="Doing",2,IF(WBS!$L82="Blocked",4,IF(WBS!$L82="Deferred",5,1)))),""))</f>
        <v>1</v>
      </c>
      <c r="Q82" s="58" t="str">
        <f>IF(OR(WBS!$F82="",WBS!$T82=""),"",IF(AND(12&gt;=WBS!$F82,12&lt;=WBS!$T82),IF(WBS!$L82="Done",3,IF(WBS!$L82="Doing",2,IF(WBS!$L82="Blocked",4,IF(WBS!$L82="Deferred",5,1)))),""))</f>
        <v/>
      </c>
      <c r="R82" s="58" t="str">
        <f>IF(OR(WBS!$F82="",WBS!$T82=""),"",IF(AND(13&gt;=WBS!$F82,13&lt;=WBS!$T82),IF(WBS!$L82="Done",3,IF(WBS!$L82="Doing",2,IF(WBS!$L82="Blocked",4,IF(WBS!$L82="Deferred",5,1)))),""))</f>
        <v/>
      </c>
      <c r="S82" s="58" t="str">
        <f>IF(OR(WBS!$F82="",WBS!$T82=""),"",IF(AND(14&gt;=WBS!$F82,14&lt;=WBS!$T82),IF(WBS!$L82="Done",3,IF(WBS!$L82="Doing",2,IF(WBS!$L82="Blocked",4,IF(WBS!$L82="Deferred",5,1)))),""))</f>
        <v/>
      </c>
      <c r="T82" s="58" t="str">
        <f>IF(OR(WBS!$F82="",WBS!$T82=""),"",IF(AND(15&gt;=WBS!$F82,15&lt;=WBS!$T82),IF(WBS!$L82="Done",3,IF(WBS!$L82="Doing",2,IF(WBS!$L82="Blocked",4,IF(WBS!$L82="Deferred",5,1)))),""))</f>
        <v/>
      </c>
      <c r="U82" s="58" t="str">
        <f>IF(OR(WBS!$F82="",WBS!$T82=""),"",IF(AND(16&gt;=WBS!$F82,16&lt;=WBS!$T82),IF(WBS!$L82="Done",3,IF(WBS!$L82="Doing",2,IF(WBS!$L82="Blocked",4,IF(WBS!$L82="Deferred",5,1)))),""))</f>
        <v/>
      </c>
      <c r="V82" s="58" t="str">
        <f>IF(OR(WBS!$F82="",WBS!$T82=""),"",IF(AND(17&gt;=WBS!$F82,17&lt;=WBS!$T82),IF(WBS!$L82="Done",3,IF(WBS!$L82="Doing",2,IF(WBS!$L82="Blocked",4,IF(WBS!$L82="Deferred",5,1)))),""))</f>
        <v/>
      </c>
      <c r="W82" s="58" t="str">
        <f>IF(OR(WBS!$F82="",WBS!$T82=""),"",IF(AND(18&gt;=WBS!$F82,18&lt;=WBS!$T82),IF(WBS!$L82="Done",3,IF(WBS!$L82="Doing",2,IF(WBS!$L82="Blocked",4,IF(WBS!$L82="Deferred",5,1)))),""))</f>
        <v/>
      </c>
      <c r="X82" s="58" t="str">
        <f>IF(OR(WBS!$F82="",WBS!$T82=""),"",IF(AND(19&gt;=WBS!$F82,19&lt;=WBS!$T82),IF(WBS!$L82="Done",3,IF(WBS!$L82="Doing",2,IF(WBS!$L82="Blocked",4,IF(WBS!$L82="Deferred",5,1)))),""))</f>
        <v/>
      </c>
      <c r="Y82" s="58" t="str">
        <f>IF(OR(WBS!$F82="",WBS!$T82=""),"",IF(AND(20&gt;=WBS!$F82,20&lt;=WBS!$T82),IF(WBS!$L82="Done",3,IF(WBS!$L82="Doing",2,IF(WBS!$L82="Blocked",4,IF(WBS!$L82="Deferred",5,1)))),""))</f>
        <v/>
      </c>
      <c r="Z82" s="58" t="str">
        <f>IF(OR(WBS!$F82="",WBS!$T82=""),"",IF(AND(21&gt;=WBS!$F82,21&lt;=WBS!$T82),IF(WBS!$L82="Done",3,IF(WBS!$L82="Doing",2,IF(WBS!$L82="Blocked",4,IF(WBS!$L82="Deferred",5,1)))),""))</f>
        <v/>
      </c>
    </row>
    <row r="83" spans="1:26" x14ac:dyDescent="0.3">
      <c r="A83" s="59" t="str">
        <f>WBS!$A83</f>
        <v>5.4</v>
      </c>
      <c r="B83" s="60" t="str">
        <f>WBS!$C83</f>
        <v xml:space="preserve">    Mobile foundation</v>
      </c>
      <c r="C83" s="61" t="str">
        <f>IF(WBS!$E83="","",WBS!$E83)</f>
        <v/>
      </c>
      <c r="D83" s="62">
        <f>WBS!$J83</f>
        <v>3</v>
      </c>
      <c r="E83" s="63">
        <f>WBS!$M83</f>
        <v>0</v>
      </c>
      <c r="F83" s="58" t="str">
        <f>IF(OR(WBS!$F83="",WBS!$T83=""),"",IF(AND(1&gt;=WBS!$F83,1&lt;=WBS!$T83),IF(WBS!$L83="Done",3,IF(WBS!$L83="Doing",2,IF(WBS!$L83="Blocked",4,IF(WBS!$L83="Deferred",5,1)))),""))</f>
        <v/>
      </c>
      <c r="G83" s="58" t="str">
        <f>IF(OR(WBS!$F83="",WBS!$T83=""),"",IF(AND(2&gt;=WBS!$F83,2&lt;=WBS!$T83),IF(WBS!$L83="Done",3,IF(WBS!$L83="Doing",2,IF(WBS!$L83="Blocked",4,IF(WBS!$L83="Deferred",5,1)))),""))</f>
        <v/>
      </c>
      <c r="H83" s="58" t="str">
        <f>IF(OR(WBS!$F83="",WBS!$T83=""),"",IF(AND(3&gt;=WBS!$F83,3&lt;=WBS!$T83),IF(WBS!$L83="Done",3,IF(WBS!$L83="Doing",2,IF(WBS!$L83="Blocked",4,IF(WBS!$L83="Deferred",5,1)))),""))</f>
        <v/>
      </c>
      <c r="I83" s="58" t="str">
        <f>IF(OR(WBS!$F83="",WBS!$T83=""),"",IF(AND(4&gt;=WBS!$F83,4&lt;=WBS!$T83),IF(WBS!$L83="Done",3,IF(WBS!$L83="Doing",2,IF(WBS!$L83="Blocked",4,IF(WBS!$L83="Deferred",5,1)))),""))</f>
        <v/>
      </c>
      <c r="J83" s="58" t="str">
        <f>IF(OR(WBS!$F83="",WBS!$T83=""),"",IF(AND(5&gt;=WBS!$F83,5&lt;=WBS!$T83),IF(WBS!$L83="Done",3,IF(WBS!$L83="Doing",2,IF(WBS!$L83="Blocked",4,IF(WBS!$L83="Deferred",5,1)))),""))</f>
        <v/>
      </c>
      <c r="K83" s="58" t="str">
        <f>IF(OR(WBS!$F83="",WBS!$T83=""),"",IF(AND(6&gt;=WBS!$F83,6&lt;=WBS!$T83),IF(WBS!$L83="Done",3,IF(WBS!$L83="Doing",2,IF(WBS!$L83="Blocked",4,IF(WBS!$L83="Deferred",5,1)))),""))</f>
        <v/>
      </c>
      <c r="L83" s="58" t="str">
        <f>IF(OR(WBS!$F83="",WBS!$T83=""),"",IF(AND(7&gt;=WBS!$F83,7&lt;=WBS!$T83),IF(WBS!$L83="Done",3,IF(WBS!$L83="Doing",2,IF(WBS!$L83="Blocked",4,IF(WBS!$L83="Deferred",5,1)))),""))</f>
        <v/>
      </c>
      <c r="M83" s="58" t="str">
        <f>IF(OR(WBS!$F83="",WBS!$T83=""),"",IF(AND(8&gt;=WBS!$F83,8&lt;=WBS!$T83),IF(WBS!$L83="Done",3,IF(WBS!$L83="Doing",2,IF(WBS!$L83="Blocked",4,IF(WBS!$L83="Deferred",5,1)))),""))</f>
        <v/>
      </c>
      <c r="N83" s="58" t="str">
        <f>IF(OR(WBS!$F83="",WBS!$T83=""),"",IF(AND(9&gt;=WBS!$F83,9&lt;=WBS!$T83),IF(WBS!$L83="Done",3,IF(WBS!$L83="Doing",2,IF(WBS!$L83="Blocked",4,IF(WBS!$L83="Deferred",5,1)))),""))</f>
        <v/>
      </c>
      <c r="O83" s="58" t="str">
        <f>IF(OR(WBS!$F83="",WBS!$T83=""),"",IF(AND(10&gt;=WBS!$F83,10&lt;=WBS!$T83),IF(WBS!$L83="Done",3,IF(WBS!$L83="Doing",2,IF(WBS!$L83="Blocked",4,IF(WBS!$L83="Deferred",5,1)))),""))</f>
        <v/>
      </c>
      <c r="P83" s="58" t="str">
        <f>IF(OR(WBS!$F83="",WBS!$T83=""),"",IF(AND(11&gt;=WBS!$F83,11&lt;=WBS!$T83),IF(WBS!$L83="Done",3,IF(WBS!$L83="Doing",2,IF(WBS!$L83="Blocked",4,IF(WBS!$L83="Deferred",5,1)))),""))</f>
        <v/>
      </c>
      <c r="Q83" s="58">
        <f>IF(OR(WBS!$F83="",WBS!$T83=""),"",IF(AND(12&gt;=WBS!$F83,12&lt;=WBS!$T83),IF(WBS!$L83="Done",3,IF(WBS!$L83="Doing",2,IF(WBS!$L83="Blocked",4,IF(WBS!$L83="Deferred",5,1)))),""))</f>
        <v>1</v>
      </c>
      <c r="R83" s="58" t="str">
        <f>IF(OR(WBS!$F83="",WBS!$T83=""),"",IF(AND(13&gt;=WBS!$F83,13&lt;=WBS!$T83),IF(WBS!$L83="Done",3,IF(WBS!$L83="Doing",2,IF(WBS!$L83="Blocked",4,IF(WBS!$L83="Deferred",5,1)))),""))</f>
        <v/>
      </c>
      <c r="S83" s="58" t="str">
        <f>IF(OR(WBS!$F83="",WBS!$T83=""),"",IF(AND(14&gt;=WBS!$F83,14&lt;=WBS!$T83),IF(WBS!$L83="Done",3,IF(WBS!$L83="Doing",2,IF(WBS!$L83="Blocked",4,IF(WBS!$L83="Deferred",5,1)))),""))</f>
        <v/>
      </c>
      <c r="T83" s="58" t="str">
        <f>IF(OR(WBS!$F83="",WBS!$T83=""),"",IF(AND(15&gt;=WBS!$F83,15&lt;=WBS!$T83),IF(WBS!$L83="Done",3,IF(WBS!$L83="Doing",2,IF(WBS!$L83="Blocked",4,IF(WBS!$L83="Deferred",5,1)))),""))</f>
        <v/>
      </c>
      <c r="U83" s="58" t="str">
        <f>IF(OR(WBS!$F83="",WBS!$T83=""),"",IF(AND(16&gt;=WBS!$F83,16&lt;=WBS!$T83),IF(WBS!$L83="Done",3,IF(WBS!$L83="Doing",2,IF(WBS!$L83="Blocked",4,IF(WBS!$L83="Deferred",5,1)))),""))</f>
        <v/>
      </c>
      <c r="V83" s="58" t="str">
        <f>IF(OR(WBS!$F83="",WBS!$T83=""),"",IF(AND(17&gt;=WBS!$F83,17&lt;=WBS!$T83),IF(WBS!$L83="Done",3,IF(WBS!$L83="Doing",2,IF(WBS!$L83="Blocked",4,IF(WBS!$L83="Deferred",5,1)))),""))</f>
        <v/>
      </c>
      <c r="W83" s="58" t="str">
        <f>IF(OR(WBS!$F83="",WBS!$T83=""),"",IF(AND(18&gt;=WBS!$F83,18&lt;=WBS!$T83),IF(WBS!$L83="Done",3,IF(WBS!$L83="Doing",2,IF(WBS!$L83="Blocked",4,IF(WBS!$L83="Deferred",5,1)))),""))</f>
        <v/>
      </c>
      <c r="X83" s="58" t="str">
        <f>IF(OR(WBS!$F83="",WBS!$T83=""),"",IF(AND(19&gt;=WBS!$F83,19&lt;=WBS!$T83),IF(WBS!$L83="Done",3,IF(WBS!$L83="Doing",2,IF(WBS!$L83="Blocked",4,IF(WBS!$L83="Deferred",5,1)))),""))</f>
        <v/>
      </c>
      <c r="Y83" s="58" t="str">
        <f>IF(OR(WBS!$F83="",WBS!$T83=""),"",IF(AND(20&gt;=WBS!$F83,20&lt;=WBS!$T83),IF(WBS!$L83="Done",3,IF(WBS!$L83="Doing",2,IF(WBS!$L83="Blocked",4,IF(WBS!$L83="Deferred",5,1)))),""))</f>
        <v/>
      </c>
      <c r="Z83" s="58" t="str">
        <f>IF(OR(WBS!$F83="",WBS!$T83=""),"",IF(AND(21&gt;=WBS!$F83,21&lt;=WBS!$T83),IF(WBS!$L83="Done",3,IF(WBS!$L83="Doing",2,IF(WBS!$L83="Blocked",4,IF(WBS!$L83="Deferred",5,1)))),""))</f>
        <v/>
      </c>
    </row>
    <row r="84" spans="1:26" ht="26.4" x14ac:dyDescent="0.3">
      <c r="A84" s="64" t="str">
        <f>WBS!$A84</f>
        <v>5.4.1</v>
      </c>
      <c r="B84" s="65" t="str">
        <f>WBS!$C84</f>
        <v xml:space="preserve">        Flutter melos monorepo - core, design_system, api_client packages</v>
      </c>
      <c r="C84" s="66" t="str">
        <f>IF(WBS!$E84="","",WBS!$E84)</f>
        <v>MOB</v>
      </c>
      <c r="D84" s="67">
        <f>WBS!$J84</f>
        <v>2</v>
      </c>
      <c r="E84" s="68">
        <f>WBS!$M84</f>
        <v>0</v>
      </c>
      <c r="F84" s="58" t="str">
        <f>IF(OR(WBS!$F84="",WBS!$T84=""),"",IF(AND(1&gt;=WBS!$F84,1&lt;=WBS!$T84),IF(WBS!$L84="Done",3,IF(WBS!$L84="Doing",2,IF(WBS!$L84="Blocked",4,IF(WBS!$L84="Deferred",5,1)))),""))</f>
        <v/>
      </c>
      <c r="G84" s="58" t="str">
        <f>IF(OR(WBS!$F84="",WBS!$T84=""),"",IF(AND(2&gt;=WBS!$F84,2&lt;=WBS!$T84),IF(WBS!$L84="Done",3,IF(WBS!$L84="Doing",2,IF(WBS!$L84="Blocked",4,IF(WBS!$L84="Deferred",5,1)))),""))</f>
        <v/>
      </c>
      <c r="H84" s="58" t="str">
        <f>IF(OR(WBS!$F84="",WBS!$T84=""),"",IF(AND(3&gt;=WBS!$F84,3&lt;=WBS!$T84),IF(WBS!$L84="Done",3,IF(WBS!$L84="Doing",2,IF(WBS!$L84="Blocked",4,IF(WBS!$L84="Deferred",5,1)))),""))</f>
        <v/>
      </c>
      <c r="I84" s="58" t="str">
        <f>IF(OR(WBS!$F84="",WBS!$T84=""),"",IF(AND(4&gt;=WBS!$F84,4&lt;=WBS!$T84),IF(WBS!$L84="Done",3,IF(WBS!$L84="Doing",2,IF(WBS!$L84="Blocked",4,IF(WBS!$L84="Deferred",5,1)))),""))</f>
        <v/>
      </c>
      <c r="J84" s="58" t="str">
        <f>IF(OR(WBS!$F84="",WBS!$T84=""),"",IF(AND(5&gt;=WBS!$F84,5&lt;=WBS!$T84),IF(WBS!$L84="Done",3,IF(WBS!$L84="Doing",2,IF(WBS!$L84="Blocked",4,IF(WBS!$L84="Deferred",5,1)))),""))</f>
        <v/>
      </c>
      <c r="K84" s="58" t="str">
        <f>IF(OR(WBS!$F84="",WBS!$T84=""),"",IF(AND(6&gt;=WBS!$F84,6&lt;=WBS!$T84),IF(WBS!$L84="Done",3,IF(WBS!$L84="Doing",2,IF(WBS!$L84="Blocked",4,IF(WBS!$L84="Deferred",5,1)))),""))</f>
        <v/>
      </c>
      <c r="L84" s="58" t="str">
        <f>IF(OR(WBS!$F84="",WBS!$T84=""),"",IF(AND(7&gt;=WBS!$F84,7&lt;=WBS!$T84),IF(WBS!$L84="Done",3,IF(WBS!$L84="Doing",2,IF(WBS!$L84="Blocked",4,IF(WBS!$L84="Deferred",5,1)))),""))</f>
        <v/>
      </c>
      <c r="M84" s="58" t="str">
        <f>IF(OR(WBS!$F84="",WBS!$T84=""),"",IF(AND(8&gt;=WBS!$F84,8&lt;=WBS!$T84),IF(WBS!$L84="Done",3,IF(WBS!$L84="Doing",2,IF(WBS!$L84="Blocked",4,IF(WBS!$L84="Deferred",5,1)))),""))</f>
        <v/>
      </c>
      <c r="N84" s="58" t="str">
        <f>IF(OR(WBS!$F84="",WBS!$T84=""),"",IF(AND(9&gt;=WBS!$F84,9&lt;=WBS!$T84),IF(WBS!$L84="Done",3,IF(WBS!$L84="Doing",2,IF(WBS!$L84="Blocked",4,IF(WBS!$L84="Deferred",5,1)))),""))</f>
        <v/>
      </c>
      <c r="O84" s="58" t="str">
        <f>IF(OR(WBS!$F84="",WBS!$T84=""),"",IF(AND(10&gt;=WBS!$F84,10&lt;=WBS!$T84),IF(WBS!$L84="Done",3,IF(WBS!$L84="Doing",2,IF(WBS!$L84="Blocked",4,IF(WBS!$L84="Deferred",5,1)))),""))</f>
        <v/>
      </c>
      <c r="P84" s="58" t="str">
        <f>IF(OR(WBS!$F84="",WBS!$T84=""),"",IF(AND(11&gt;=WBS!$F84,11&lt;=WBS!$T84),IF(WBS!$L84="Done",3,IF(WBS!$L84="Doing",2,IF(WBS!$L84="Blocked",4,IF(WBS!$L84="Deferred",5,1)))),""))</f>
        <v/>
      </c>
      <c r="Q84" s="58">
        <f>IF(OR(WBS!$F84="",WBS!$T84=""),"",IF(AND(12&gt;=WBS!$F84,12&lt;=WBS!$T84),IF(WBS!$L84="Done",3,IF(WBS!$L84="Doing",2,IF(WBS!$L84="Blocked",4,IF(WBS!$L84="Deferred",5,1)))),""))</f>
        <v>1</v>
      </c>
      <c r="R84" s="58" t="str">
        <f>IF(OR(WBS!$F84="",WBS!$T84=""),"",IF(AND(13&gt;=WBS!$F84,13&lt;=WBS!$T84),IF(WBS!$L84="Done",3,IF(WBS!$L84="Doing",2,IF(WBS!$L84="Blocked",4,IF(WBS!$L84="Deferred",5,1)))),""))</f>
        <v/>
      </c>
      <c r="S84" s="58" t="str">
        <f>IF(OR(WBS!$F84="",WBS!$T84=""),"",IF(AND(14&gt;=WBS!$F84,14&lt;=WBS!$T84),IF(WBS!$L84="Done",3,IF(WBS!$L84="Doing",2,IF(WBS!$L84="Blocked",4,IF(WBS!$L84="Deferred",5,1)))),""))</f>
        <v/>
      </c>
      <c r="T84" s="58" t="str">
        <f>IF(OR(WBS!$F84="",WBS!$T84=""),"",IF(AND(15&gt;=WBS!$F84,15&lt;=WBS!$T84),IF(WBS!$L84="Done",3,IF(WBS!$L84="Doing",2,IF(WBS!$L84="Blocked",4,IF(WBS!$L84="Deferred",5,1)))),""))</f>
        <v/>
      </c>
      <c r="U84" s="58" t="str">
        <f>IF(OR(WBS!$F84="",WBS!$T84=""),"",IF(AND(16&gt;=WBS!$F84,16&lt;=WBS!$T84),IF(WBS!$L84="Done",3,IF(WBS!$L84="Doing",2,IF(WBS!$L84="Blocked",4,IF(WBS!$L84="Deferred",5,1)))),""))</f>
        <v/>
      </c>
      <c r="V84" s="58" t="str">
        <f>IF(OR(WBS!$F84="",WBS!$T84=""),"",IF(AND(17&gt;=WBS!$F84,17&lt;=WBS!$T84),IF(WBS!$L84="Done",3,IF(WBS!$L84="Doing",2,IF(WBS!$L84="Blocked",4,IF(WBS!$L84="Deferred",5,1)))),""))</f>
        <v/>
      </c>
      <c r="W84" s="58" t="str">
        <f>IF(OR(WBS!$F84="",WBS!$T84=""),"",IF(AND(18&gt;=WBS!$F84,18&lt;=WBS!$T84),IF(WBS!$L84="Done",3,IF(WBS!$L84="Doing",2,IF(WBS!$L84="Blocked",4,IF(WBS!$L84="Deferred",5,1)))),""))</f>
        <v/>
      </c>
      <c r="X84" s="58" t="str">
        <f>IF(OR(WBS!$F84="",WBS!$T84=""),"",IF(AND(19&gt;=WBS!$F84,19&lt;=WBS!$T84),IF(WBS!$L84="Done",3,IF(WBS!$L84="Doing",2,IF(WBS!$L84="Blocked",4,IF(WBS!$L84="Deferred",5,1)))),""))</f>
        <v/>
      </c>
      <c r="Y84" s="58" t="str">
        <f>IF(OR(WBS!$F84="",WBS!$T84=""),"",IF(AND(20&gt;=WBS!$F84,20&lt;=WBS!$T84),IF(WBS!$L84="Done",3,IF(WBS!$L84="Doing",2,IF(WBS!$L84="Blocked",4,IF(WBS!$L84="Deferred",5,1)))),""))</f>
        <v/>
      </c>
      <c r="Z84" s="58" t="str">
        <f>IF(OR(WBS!$F84="",WBS!$T84=""),"",IF(AND(21&gt;=WBS!$F84,21&lt;=WBS!$T84),IF(WBS!$L84="Done",3,IF(WBS!$L84="Doing",2,IF(WBS!$L84="Blocked",4,IF(WBS!$L84="Deferred",5,1)))),""))</f>
        <v/>
      </c>
    </row>
    <row r="85" spans="1:26" x14ac:dyDescent="0.3">
      <c r="A85" s="64" t="str">
        <f>WBS!$A85</f>
        <v>5.4.2</v>
      </c>
      <c r="B85" s="65" t="str">
        <f>WBS!$C85</f>
        <v xml:space="preserve">        Design token codegen - tokens.json to Dart and CSS</v>
      </c>
      <c r="C85" s="66" t="str">
        <f>IF(WBS!$E85="","",WBS!$E85)</f>
        <v>UX</v>
      </c>
      <c r="D85" s="67">
        <f>WBS!$J85</f>
        <v>1</v>
      </c>
      <c r="E85" s="68">
        <f>WBS!$M85</f>
        <v>0</v>
      </c>
      <c r="F85" s="58" t="str">
        <f>IF(OR(WBS!$F85="",WBS!$T85=""),"",IF(AND(1&gt;=WBS!$F85,1&lt;=WBS!$T85),IF(WBS!$L85="Done",3,IF(WBS!$L85="Doing",2,IF(WBS!$L85="Blocked",4,IF(WBS!$L85="Deferred",5,1)))),""))</f>
        <v/>
      </c>
      <c r="G85" s="58" t="str">
        <f>IF(OR(WBS!$F85="",WBS!$T85=""),"",IF(AND(2&gt;=WBS!$F85,2&lt;=WBS!$T85),IF(WBS!$L85="Done",3,IF(WBS!$L85="Doing",2,IF(WBS!$L85="Blocked",4,IF(WBS!$L85="Deferred",5,1)))),""))</f>
        <v/>
      </c>
      <c r="H85" s="58" t="str">
        <f>IF(OR(WBS!$F85="",WBS!$T85=""),"",IF(AND(3&gt;=WBS!$F85,3&lt;=WBS!$T85),IF(WBS!$L85="Done",3,IF(WBS!$L85="Doing",2,IF(WBS!$L85="Blocked",4,IF(WBS!$L85="Deferred",5,1)))),""))</f>
        <v/>
      </c>
      <c r="I85" s="58" t="str">
        <f>IF(OR(WBS!$F85="",WBS!$T85=""),"",IF(AND(4&gt;=WBS!$F85,4&lt;=WBS!$T85),IF(WBS!$L85="Done",3,IF(WBS!$L85="Doing",2,IF(WBS!$L85="Blocked",4,IF(WBS!$L85="Deferred",5,1)))),""))</f>
        <v/>
      </c>
      <c r="J85" s="58" t="str">
        <f>IF(OR(WBS!$F85="",WBS!$T85=""),"",IF(AND(5&gt;=WBS!$F85,5&lt;=WBS!$T85),IF(WBS!$L85="Done",3,IF(WBS!$L85="Doing",2,IF(WBS!$L85="Blocked",4,IF(WBS!$L85="Deferred",5,1)))),""))</f>
        <v/>
      </c>
      <c r="K85" s="58" t="str">
        <f>IF(OR(WBS!$F85="",WBS!$T85=""),"",IF(AND(6&gt;=WBS!$F85,6&lt;=WBS!$T85),IF(WBS!$L85="Done",3,IF(WBS!$L85="Doing",2,IF(WBS!$L85="Blocked",4,IF(WBS!$L85="Deferred",5,1)))),""))</f>
        <v/>
      </c>
      <c r="L85" s="58" t="str">
        <f>IF(OR(WBS!$F85="",WBS!$T85=""),"",IF(AND(7&gt;=WBS!$F85,7&lt;=WBS!$T85),IF(WBS!$L85="Done",3,IF(WBS!$L85="Doing",2,IF(WBS!$L85="Blocked",4,IF(WBS!$L85="Deferred",5,1)))),""))</f>
        <v/>
      </c>
      <c r="M85" s="58" t="str">
        <f>IF(OR(WBS!$F85="",WBS!$T85=""),"",IF(AND(8&gt;=WBS!$F85,8&lt;=WBS!$T85),IF(WBS!$L85="Done",3,IF(WBS!$L85="Doing",2,IF(WBS!$L85="Blocked",4,IF(WBS!$L85="Deferred",5,1)))),""))</f>
        <v/>
      </c>
      <c r="N85" s="58" t="str">
        <f>IF(OR(WBS!$F85="",WBS!$T85=""),"",IF(AND(9&gt;=WBS!$F85,9&lt;=WBS!$T85),IF(WBS!$L85="Done",3,IF(WBS!$L85="Doing",2,IF(WBS!$L85="Blocked",4,IF(WBS!$L85="Deferred",5,1)))),""))</f>
        <v/>
      </c>
      <c r="O85" s="58" t="str">
        <f>IF(OR(WBS!$F85="",WBS!$T85=""),"",IF(AND(10&gt;=WBS!$F85,10&lt;=WBS!$T85),IF(WBS!$L85="Done",3,IF(WBS!$L85="Doing",2,IF(WBS!$L85="Blocked",4,IF(WBS!$L85="Deferred",5,1)))),""))</f>
        <v/>
      </c>
      <c r="P85" s="58" t="str">
        <f>IF(OR(WBS!$F85="",WBS!$T85=""),"",IF(AND(11&gt;=WBS!$F85,11&lt;=WBS!$T85),IF(WBS!$L85="Done",3,IF(WBS!$L85="Doing",2,IF(WBS!$L85="Blocked",4,IF(WBS!$L85="Deferred",5,1)))),""))</f>
        <v/>
      </c>
      <c r="Q85" s="58">
        <f>IF(OR(WBS!$F85="",WBS!$T85=""),"",IF(AND(12&gt;=WBS!$F85,12&lt;=WBS!$T85),IF(WBS!$L85="Done",3,IF(WBS!$L85="Doing",2,IF(WBS!$L85="Blocked",4,IF(WBS!$L85="Deferred",5,1)))),""))</f>
        <v>1</v>
      </c>
      <c r="R85" s="58" t="str">
        <f>IF(OR(WBS!$F85="",WBS!$T85=""),"",IF(AND(13&gt;=WBS!$F85,13&lt;=WBS!$T85),IF(WBS!$L85="Done",3,IF(WBS!$L85="Doing",2,IF(WBS!$L85="Blocked",4,IF(WBS!$L85="Deferred",5,1)))),""))</f>
        <v/>
      </c>
      <c r="S85" s="58" t="str">
        <f>IF(OR(WBS!$F85="",WBS!$T85=""),"",IF(AND(14&gt;=WBS!$F85,14&lt;=WBS!$T85),IF(WBS!$L85="Done",3,IF(WBS!$L85="Doing",2,IF(WBS!$L85="Blocked",4,IF(WBS!$L85="Deferred",5,1)))),""))</f>
        <v/>
      </c>
      <c r="T85" s="58" t="str">
        <f>IF(OR(WBS!$F85="",WBS!$T85=""),"",IF(AND(15&gt;=WBS!$F85,15&lt;=WBS!$T85),IF(WBS!$L85="Done",3,IF(WBS!$L85="Doing",2,IF(WBS!$L85="Blocked",4,IF(WBS!$L85="Deferred",5,1)))),""))</f>
        <v/>
      </c>
      <c r="U85" s="58" t="str">
        <f>IF(OR(WBS!$F85="",WBS!$T85=""),"",IF(AND(16&gt;=WBS!$F85,16&lt;=WBS!$T85),IF(WBS!$L85="Done",3,IF(WBS!$L85="Doing",2,IF(WBS!$L85="Blocked",4,IF(WBS!$L85="Deferred",5,1)))),""))</f>
        <v/>
      </c>
      <c r="V85" s="58" t="str">
        <f>IF(OR(WBS!$F85="",WBS!$T85=""),"",IF(AND(17&gt;=WBS!$F85,17&lt;=WBS!$T85),IF(WBS!$L85="Done",3,IF(WBS!$L85="Doing",2,IF(WBS!$L85="Blocked",4,IF(WBS!$L85="Deferred",5,1)))),""))</f>
        <v/>
      </c>
      <c r="W85" s="58" t="str">
        <f>IF(OR(WBS!$F85="",WBS!$T85=""),"",IF(AND(18&gt;=WBS!$F85,18&lt;=WBS!$T85),IF(WBS!$L85="Done",3,IF(WBS!$L85="Doing",2,IF(WBS!$L85="Blocked",4,IF(WBS!$L85="Deferred",5,1)))),""))</f>
        <v/>
      </c>
      <c r="X85" s="58" t="str">
        <f>IF(OR(WBS!$F85="",WBS!$T85=""),"",IF(AND(19&gt;=WBS!$F85,19&lt;=WBS!$T85),IF(WBS!$L85="Done",3,IF(WBS!$L85="Doing",2,IF(WBS!$L85="Blocked",4,IF(WBS!$L85="Deferred",5,1)))),""))</f>
        <v/>
      </c>
      <c r="Y85" s="58" t="str">
        <f>IF(OR(WBS!$F85="",WBS!$T85=""),"",IF(AND(20&gt;=WBS!$F85,20&lt;=WBS!$T85),IF(WBS!$L85="Done",3,IF(WBS!$L85="Doing",2,IF(WBS!$L85="Blocked",4,IF(WBS!$L85="Deferred",5,1)))),""))</f>
        <v/>
      </c>
      <c r="Z85" s="58" t="str">
        <f>IF(OR(WBS!$F85="",WBS!$T85=""),"",IF(AND(21&gt;=WBS!$F85,21&lt;=WBS!$T85),IF(WBS!$L85="Done",3,IF(WBS!$L85="Doing",2,IF(WBS!$L85="Blocked",4,IF(WBS!$L85="Deferred",5,1)))),""))</f>
        <v/>
      </c>
    </row>
    <row r="86" spans="1:26" x14ac:dyDescent="0.3">
      <c r="A86" s="59" t="str">
        <f>WBS!$A86</f>
        <v>5.5</v>
      </c>
      <c r="B86" s="60" t="str">
        <f>WBS!$C86</f>
        <v xml:space="preserve">    Passenger application</v>
      </c>
      <c r="C86" s="61" t="str">
        <f>IF(WBS!$E86="","",WBS!$E86)</f>
        <v/>
      </c>
      <c r="D86" s="62">
        <f>WBS!$J86</f>
        <v>8</v>
      </c>
      <c r="E86" s="63">
        <f>WBS!$M86</f>
        <v>0</v>
      </c>
      <c r="F86" s="58" t="str">
        <f>IF(OR(WBS!$F86="",WBS!$T86=""),"",IF(AND(1&gt;=WBS!$F86,1&lt;=WBS!$T86),IF(WBS!$L86="Done",3,IF(WBS!$L86="Doing",2,IF(WBS!$L86="Blocked",4,IF(WBS!$L86="Deferred",5,1)))),""))</f>
        <v/>
      </c>
      <c r="G86" s="58" t="str">
        <f>IF(OR(WBS!$F86="",WBS!$T86=""),"",IF(AND(2&gt;=WBS!$F86,2&lt;=WBS!$T86),IF(WBS!$L86="Done",3,IF(WBS!$L86="Doing",2,IF(WBS!$L86="Blocked",4,IF(WBS!$L86="Deferred",5,1)))),""))</f>
        <v/>
      </c>
      <c r="H86" s="58" t="str">
        <f>IF(OR(WBS!$F86="",WBS!$T86=""),"",IF(AND(3&gt;=WBS!$F86,3&lt;=WBS!$T86),IF(WBS!$L86="Done",3,IF(WBS!$L86="Doing",2,IF(WBS!$L86="Blocked",4,IF(WBS!$L86="Deferred",5,1)))),""))</f>
        <v/>
      </c>
      <c r="I86" s="58" t="str">
        <f>IF(OR(WBS!$F86="",WBS!$T86=""),"",IF(AND(4&gt;=WBS!$F86,4&lt;=WBS!$T86),IF(WBS!$L86="Done",3,IF(WBS!$L86="Doing",2,IF(WBS!$L86="Blocked",4,IF(WBS!$L86="Deferred",5,1)))),""))</f>
        <v/>
      </c>
      <c r="J86" s="58" t="str">
        <f>IF(OR(WBS!$F86="",WBS!$T86=""),"",IF(AND(5&gt;=WBS!$F86,5&lt;=WBS!$T86),IF(WBS!$L86="Done",3,IF(WBS!$L86="Doing",2,IF(WBS!$L86="Blocked",4,IF(WBS!$L86="Deferred",5,1)))),""))</f>
        <v/>
      </c>
      <c r="K86" s="58" t="str">
        <f>IF(OR(WBS!$F86="",WBS!$T86=""),"",IF(AND(6&gt;=WBS!$F86,6&lt;=WBS!$T86),IF(WBS!$L86="Done",3,IF(WBS!$L86="Doing",2,IF(WBS!$L86="Blocked",4,IF(WBS!$L86="Deferred",5,1)))),""))</f>
        <v/>
      </c>
      <c r="L86" s="58" t="str">
        <f>IF(OR(WBS!$F86="",WBS!$T86=""),"",IF(AND(7&gt;=WBS!$F86,7&lt;=WBS!$T86),IF(WBS!$L86="Done",3,IF(WBS!$L86="Doing",2,IF(WBS!$L86="Blocked",4,IF(WBS!$L86="Deferred",5,1)))),""))</f>
        <v/>
      </c>
      <c r="M86" s="58" t="str">
        <f>IF(OR(WBS!$F86="",WBS!$T86=""),"",IF(AND(8&gt;=WBS!$F86,8&lt;=WBS!$T86),IF(WBS!$L86="Done",3,IF(WBS!$L86="Doing",2,IF(WBS!$L86="Blocked",4,IF(WBS!$L86="Deferred",5,1)))),""))</f>
        <v/>
      </c>
      <c r="N86" s="58" t="str">
        <f>IF(OR(WBS!$F86="",WBS!$T86=""),"",IF(AND(9&gt;=WBS!$F86,9&lt;=WBS!$T86),IF(WBS!$L86="Done",3,IF(WBS!$L86="Doing",2,IF(WBS!$L86="Blocked",4,IF(WBS!$L86="Deferred",5,1)))),""))</f>
        <v/>
      </c>
      <c r="O86" s="58" t="str">
        <f>IF(OR(WBS!$F86="",WBS!$T86=""),"",IF(AND(10&gt;=WBS!$F86,10&lt;=WBS!$T86),IF(WBS!$L86="Done",3,IF(WBS!$L86="Doing",2,IF(WBS!$L86="Blocked",4,IF(WBS!$L86="Deferred",5,1)))),""))</f>
        <v/>
      </c>
      <c r="P86" s="58" t="str">
        <f>IF(OR(WBS!$F86="",WBS!$T86=""),"",IF(AND(11&gt;=WBS!$F86,11&lt;=WBS!$T86),IF(WBS!$L86="Done",3,IF(WBS!$L86="Doing",2,IF(WBS!$L86="Blocked",4,IF(WBS!$L86="Deferred",5,1)))),""))</f>
        <v/>
      </c>
      <c r="Q86" s="58">
        <f>IF(OR(WBS!$F86="",WBS!$T86=""),"",IF(AND(12&gt;=WBS!$F86,12&lt;=WBS!$T86),IF(WBS!$L86="Done",3,IF(WBS!$L86="Doing",2,IF(WBS!$L86="Blocked",4,IF(WBS!$L86="Deferred",5,1)))),""))</f>
        <v>1</v>
      </c>
      <c r="R86" s="58">
        <f>IF(OR(WBS!$F86="",WBS!$T86=""),"",IF(AND(13&gt;=WBS!$F86,13&lt;=WBS!$T86),IF(WBS!$L86="Done",3,IF(WBS!$L86="Doing",2,IF(WBS!$L86="Blocked",4,IF(WBS!$L86="Deferred",5,1)))),""))</f>
        <v>1</v>
      </c>
      <c r="S86" s="58" t="str">
        <f>IF(OR(WBS!$F86="",WBS!$T86=""),"",IF(AND(14&gt;=WBS!$F86,14&lt;=WBS!$T86),IF(WBS!$L86="Done",3,IF(WBS!$L86="Doing",2,IF(WBS!$L86="Blocked",4,IF(WBS!$L86="Deferred",5,1)))),""))</f>
        <v/>
      </c>
      <c r="T86" s="58" t="str">
        <f>IF(OR(WBS!$F86="",WBS!$T86=""),"",IF(AND(15&gt;=WBS!$F86,15&lt;=WBS!$T86),IF(WBS!$L86="Done",3,IF(WBS!$L86="Doing",2,IF(WBS!$L86="Blocked",4,IF(WBS!$L86="Deferred",5,1)))),""))</f>
        <v/>
      </c>
      <c r="U86" s="58" t="str">
        <f>IF(OR(WBS!$F86="",WBS!$T86=""),"",IF(AND(16&gt;=WBS!$F86,16&lt;=WBS!$T86),IF(WBS!$L86="Done",3,IF(WBS!$L86="Doing",2,IF(WBS!$L86="Blocked",4,IF(WBS!$L86="Deferred",5,1)))),""))</f>
        <v/>
      </c>
      <c r="V86" s="58" t="str">
        <f>IF(OR(WBS!$F86="",WBS!$T86=""),"",IF(AND(17&gt;=WBS!$F86,17&lt;=WBS!$T86),IF(WBS!$L86="Done",3,IF(WBS!$L86="Doing",2,IF(WBS!$L86="Blocked",4,IF(WBS!$L86="Deferred",5,1)))),""))</f>
        <v/>
      </c>
      <c r="W86" s="58" t="str">
        <f>IF(OR(WBS!$F86="",WBS!$T86=""),"",IF(AND(18&gt;=WBS!$F86,18&lt;=WBS!$T86),IF(WBS!$L86="Done",3,IF(WBS!$L86="Doing",2,IF(WBS!$L86="Blocked",4,IF(WBS!$L86="Deferred",5,1)))),""))</f>
        <v/>
      </c>
      <c r="X86" s="58" t="str">
        <f>IF(OR(WBS!$F86="",WBS!$T86=""),"",IF(AND(19&gt;=WBS!$F86,19&lt;=WBS!$T86),IF(WBS!$L86="Done",3,IF(WBS!$L86="Doing",2,IF(WBS!$L86="Blocked",4,IF(WBS!$L86="Deferred",5,1)))),""))</f>
        <v/>
      </c>
      <c r="Y86" s="58" t="str">
        <f>IF(OR(WBS!$F86="",WBS!$T86=""),"",IF(AND(20&gt;=WBS!$F86,20&lt;=WBS!$T86),IF(WBS!$L86="Done",3,IF(WBS!$L86="Doing",2,IF(WBS!$L86="Blocked",4,IF(WBS!$L86="Deferred",5,1)))),""))</f>
        <v/>
      </c>
      <c r="Z86" s="58" t="str">
        <f>IF(OR(WBS!$F86="",WBS!$T86=""),"",IF(AND(21&gt;=WBS!$F86,21&lt;=WBS!$T86),IF(WBS!$L86="Done",3,IF(WBS!$L86="Doing",2,IF(WBS!$L86="Blocked",4,IF(WBS!$L86="Deferred",5,1)))),""))</f>
        <v/>
      </c>
    </row>
    <row r="87" spans="1:26" x14ac:dyDescent="0.3">
      <c r="A87" s="64" t="str">
        <f>WBS!$A87</f>
        <v>5.5.1</v>
      </c>
      <c r="B87" s="65" t="str">
        <f>WBS!$C87</f>
        <v xml:space="preserve">        Plan and station departures screens</v>
      </c>
      <c r="C87" s="66" t="str">
        <f>IF(WBS!$E87="","",WBS!$E87)</f>
        <v>MOB</v>
      </c>
      <c r="D87" s="67">
        <f>WBS!$J87</f>
        <v>2.5</v>
      </c>
      <c r="E87" s="68">
        <f>WBS!$M87</f>
        <v>0</v>
      </c>
      <c r="F87" s="58" t="str">
        <f>IF(OR(WBS!$F87="",WBS!$T87=""),"",IF(AND(1&gt;=WBS!$F87,1&lt;=WBS!$T87),IF(WBS!$L87="Done",3,IF(WBS!$L87="Doing",2,IF(WBS!$L87="Blocked",4,IF(WBS!$L87="Deferred",5,1)))),""))</f>
        <v/>
      </c>
      <c r="G87" s="58" t="str">
        <f>IF(OR(WBS!$F87="",WBS!$T87=""),"",IF(AND(2&gt;=WBS!$F87,2&lt;=WBS!$T87),IF(WBS!$L87="Done",3,IF(WBS!$L87="Doing",2,IF(WBS!$L87="Blocked",4,IF(WBS!$L87="Deferred",5,1)))),""))</f>
        <v/>
      </c>
      <c r="H87" s="58" t="str">
        <f>IF(OR(WBS!$F87="",WBS!$T87=""),"",IF(AND(3&gt;=WBS!$F87,3&lt;=WBS!$T87),IF(WBS!$L87="Done",3,IF(WBS!$L87="Doing",2,IF(WBS!$L87="Blocked",4,IF(WBS!$L87="Deferred",5,1)))),""))</f>
        <v/>
      </c>
      <c r="I87" s="58" t="str">
        <f>IF(OR(WBS!$F87="",WBS!$T87=""),"",IF(AND(4&gt;=WBS!$F87,4&lt;=WBS!$T87),IF(WBS!$L87="Done",3,IF(WBS!$L87="Doing",2,IF(WBS!$L87="Blocked",4,IF(WBS!$L87="Deferred",5,1)))),""))</f>
        <v/>
      </c>
      <c r="J87" s="58" t="str">
        <f>IF(OR(WBS!$F87="",WBS!$T87=""),"",IF(AND(5&gt;=WBS!$F87,5&lt;=WBS!$T87),IF(WBS!$L87="Done",3,IF(WBS!$L87="Doing",2,IF(WBS!$L87="Blocked",4,IF(WBS!$L87="Deferred",5,1)))),""))</f>
        <v/>
      </c>
      <c r="K87" s="58" t="str">
        <f>IF(OR(WBS!$F87="",WBS!$T87=""),"",IF(AND(6&gt;=WBS!$F87,6&lt;=WBS!$T87),IF(WBS!$L87="Done",3,IF(WBS!$L87="Doing",2,IF(WBS!$L87="Blocked",4,IF(WBS!$L87="Deferred",5,1)))),""))</f>
        <v/>
      </c>
      <c r="L87" s="58" t="str">
        <f>IF(OR(WBS!$F87="",WBS!$T87=""),"",IF(AND(7&gt;=WBS!$F87,7&lt;=WBS!$T87),IF(WBS!$L87="Done",3,IF(WBS!$L87="Doing",2,IF(WBS!$L87="Blocked",4,IF(WBS!$L87="Deferred",5,1)))),""))</f>
        <v/>
      </c>
      <c r="M87" s="58" t="str">
        <f>IF(OR(WBS!$F87="",WBS!$T87=""),"",IF(AND(8&gt;=WBS!$F87,8&lt;=WBS!$T87),IF(WBS!$L87="Done",3,IF(WBS!$L87="Doing",2,IF(WBS!$L87="Blocked",4,IF(WBS!$L87="Deferred",5,1)))),""))</f>
        <v/>
      </c>
      <c r="N87" s="58" t="str">
        <f>IF(OR(WBS!$F87="",WBS!$T87=""),"",IF(AND(9&gt;=WBS!$F87,9&lt;=WBS!$T87),IF(WBS!$L87="Done",3,IF(WBS!$L87="Doing",2,IF(WBS!$L87="Blocked",4,IF(WBS!$L87="Deferred",5,1)))),""))</f>
        <v/>
      </c>
      <c r="O87" s="58" t="str">
        <f>IF(OR(WBS!$F87="",WBS!$T87=""),"",IF(AND(10&gt;=WBS!$F87,10&lt;=WBS!$T87),IF(WBS!$L87="Done",3,IF(WBS!$L87="Doing",2,IF(WBS!$L87="Blocked",4,IF(WBS!$L87="Deferred",5,1)))),""))</f>
        <v/>
      </c>
      <c r="P87" s="58" t="str">
        <f>IF(OR(WBS!$F87="",WBS!$T87=""),"",IF(AND(11&gt;=WBS!$F87,11&lt;=WBS!$T87),IF(WBS!$L87="Done",3,IF(WBS!$L87="Doing",2,IF(WBS!$L87="Blocked",4,IF(WBS!$L87="Deferred",5,1)))),""))</f>
        <v/>
      </c>
      <c r="Q87" s="58">
        <f>IF(OR(WBS!$F87="",WBS!$T87=""),"",IF(AND(12&gt;=WBS!$F87,12&lt;=WBS!$T87),IF(WBS!$L87="Done",3,IF(WBS!$L87="Doing",2,IF(WBS!$L87="Blocked",4,IF(WBS!$L87="Deferred",5,1)))),""))</f>
        <v>1</v>
      </c>
      <c r="R87" s="58" t="str">
        <f>IF(OR(WBS!$F87="",WBS!$T87=""),"",IF(AND(13&gt;=WBS!$F87,13&lt;=WBS!$T87),IF(WBS!$L87="Done",3,IF(WBS!$L87="Doing",2,IF(WBS!$L87="Blocked",4,IF(WBS!$L87="Deferred",5,1)))),""))</f>
        <v/>
      </c>
      <c r="S87" s="58" t="str">
        <f>IF(OR(WBS!$F87="",WBS!$T87=""),"",IF(AND(14&gt;=WBS!$F87,14&lt;=WBS!$T87),IF(WBS!$L87="Done",3,IF(WBS!$L87="Doing",2,IF(WBS!$L87="Blocked",4,IF(WBS!$L87="Deferred",5,1)))),""))</f>
        <v/>
      </c>
      <c r="T87" s="58" t="str">
        <f>IF(OR(WBS!$F87="",WBS!$T87=""),"",IF(AND(15&gt;=WBS!$F87,15&lt;=WBS!$T87),IF(WBS!$L87="Done",3,IF(WBS!$L87="Doing",2,IF(WBS!$L87="Blocked",4,IF(WBS!$L87="Deferred",5,1)))),""))</f>
        <v/>
      </c>
      <c r="U87" s="58" t="str">
        <f>IF(OR(WBS!$F87="",WBS!$T87=""),"",IF(AND(16&gt;=WBS!$F87,16&lt;=WBS!$T87),IF(WBS!$L87="Done",3,IF(WBS!$L87="Doing",2,IF(WBS!$L87="Blocked",4,IF(WBS!$L87="Deferred",5,1)))),""))</f>
        <v/>
      </c>
      <c r="V87" s="58" t="str">
        <f>IF(OR(WBS!$F87="",WBS!$T87=""),"",IF(AND(17&gt;=WBS!$F87,17&lt;=WBS!$T87),IF(WBS!$L87="Done",3,IF(WBS!$L87="Doing",2,IF(WBS!$L87="Blocked",4,IF(WBS!$L87="Deferred",5,1)))),""))</f>
        <v/>
      </c>
      <c r="W87" s="58" t="str">
        <f>IF(OR(WBS!$F87="",WBS!$T87=""),"",IF(AND(18&gt;=WBS!$F87,18&lt;=WBS!$T87),IF(WBS!$L87="Done",3,IF(WBS!$L87="Doing",2,IF(WBS!$L87="Blocked",4,IF(WBS!$L87="Deferred",5,1)))),""))</f>
        <v/>
      </c>
      <c r="X87" s="58" t="str">
        <f>IF(OR(WBS!$F87="",WBS!$T87=""),"",IF(AND(19&gt;=WBS!$F87,19&lt;=WBS!$T87),IF(WBS!$L87="Done",3,IF(WBS!$L87="Doing",2,IF(WBS!$L87="Blocked",4,IF(WBS!$L87="Deferred",5,1)))),""))</f>
        <v/>
      </c>
      <c r="Y87" s="58" t="str">
        <f>IF(OR(WBS!$F87="",WBS!$T87=""),"",IF(AND(20&gt;=WBS!$F87,20&lt;=WBS!$T87),IF(WBS!$L87="Done",3,IF(WBS!$L87="Doing",2,IF(WBS!$L87="Blocked",4,IF(WBS!$L87="Deferred",5,1)))),""))</f>
        <v/>
      </c>
      <c r="Z87" s="58" t="str">
        <f>IF(OR(WBS!$F87="",WBS!$T87=""),"",IF(AND(21&gt;=WBS!$F87,21&lt;=WBS!$T87),IF(WBS!$L87="Done",3,IF(WBS!$L87="Doing",2,IF(WBS!$L87="Blocked",4,IF(WBS!$L87="Deferred",5,1)))),""))</f>
        <v/>
      </c>
    </row>
    <row r="88" spans="1:26" x14ac:dyDescent="0.3">
      <c r="A88" s="64" t="str">
        <f>WBS!$A88</f>
        <v>5.5.2</v>
      </c>
      <c r="B88" s="65" t="str">
        <f>WBS!$C88</f>
        <v xml:space="preserve">        Journey detail with live progress and confidence chip</v>
      </c>
      <c r="C88" s="66" t="str">
        <f>IF(WBS!$E88="","",WBS!$E88)</f>
        <v>MOB</v>
      </c>
      <c r="D88" s="67">
        <f>WBS!$J88</f>
        <v>2.5</v>
      </c>
      <c r="E88" s="68">
        <f>WBS!$M88</f>
        <v>0</v>
      </c>
      <c r="F88" s="58" t="str">
        <f>IF(OR(WBS!$F88="",WBS!$T88=""),"",IF(AND(1&gt;=WBS!$F88,1&lt;=WBS!$T88),IF(WBS!$L88="Done",3,IF(WBS!$L88="Doing",2,IF(WBS!$L88="Blocked",4,IF(WBS!$L88="Deferred",5,1)))),""))</f>
        <v/>
      </c>
      <c r="G88" s="58" t="str">
        <f>IF(OR(WBS!$F88="",WBS!$T88=""),"",IF(AND(2&gt;=WBS!$F88,2&lt;=WBS!$T88),IF(WBS!$L88="Done",3,IF(WBS!$L88="Doing",2,IF(WBS!$L88="Blocked",4,IF(WBS!$L88="Deferred",5,1)))),""))</f>
        <v/>
      </c>
      <c r="H88" s="58" t="str">
        <f>IF(OR(WBS!$F88="",WBS!$T88=""),"",IF(AND(3&gt;=WBS!$F88,3&lt;=WBS!$T88),IF(WBS!$L88="Done",3,IF(WBS!$L88="Doing",2,IF(WBS!$L88="Blocked",4,IF(WBS!$L88="Deferred",5,1)))),""))</f>
        <v/>
      </c>
      <c r="I88" s="58" t="str">
        <f>IF(OR(WBS!$F88="",WBS!$T88=""),"",IF(AND(4&gt;=WBS!$F88,4&lt;=WBS!$T88),IF(WBS!$L88="Done",3,IF(WBS!$L88="Doing",2,IF(WBS!$L88="Blocked",4,IF(WBS!$L88="Deferred",5,1)))),""))</f>
        <v/>
      </c>
      <c r="J88" s="58" t="str">
        <f>IF(OR(WBS!$F88="",WBS!$T88=""),"",IF(AND(5&gt;=WBS!$F88,5&lt;=WBS!$T88),IF(WBS!$L88="Done",3,IF(WBS!$L88="Doing",2,IF(WBS!$L88="Blocked",4,IF(WBS!$L88="Deferred",5,1)))),""))</f>
        <v/>
      </c>
      <c r="K88" s="58" t="str">
        <f>IF(OR(WBS!$F88="",WBS!$T88=""),"",IF(AND(6&gt;=WBS!$F88,6&lt;=WBS!$T88),IF(WBS!$L88="Done",3,IF(WBS!$L88="Doing",2,IF(WBS!$L88="Blocked",4,IF(WBS!$L88="Deferred",5,1)))),""))</f>
        <v/>
      </c>
      <c r="L88" s="58" t="str">
        <f>IF(OR(WBS!$F88="",WBS!$T88=""),"",IF(AND(7&gt;=WBS!$F88,7&lt;=WBS!$T88),IF(WBS!$L88="Done",3,IF(WBS!$L88="Doing",2,IF(WBS!$L88="Blocked",4,IF(WBS!$L88="Deferred",5,1)))),""))</f>
        <v/>
      </c>
      <c r="M88" s="58" t="str">
        <f>IF(OR(WBS!$F88="",WBS!$T88=""),"",IF(AND(8&gt;=WBS!$F88,8&lt;=WBS!$T88),IF(WBS!$L88="Done",3,IF(WBS!$L88="Doing",2,IF(WBS!$L88="Blocked",4,IF(WBS!$L88="Deferred",5,1)))),""))</f>
        <v/>
      </c>
      <c r="N88" s="58" t="str">
        <f>IF(OR(WBS!$F88="",WBS!$T88=""),"",IF(AND(9&gt;=WBS!$F88,9&lt;=WBS!$T88),IF(WBS!$L88="Done",3,IF(WBS!$L88="Doing",2,IF(WBS!$L88="Blocked",4,IF(WBS!$L88="Deferred",5,1)))),""))</f>
        <v/>
      </c>
      <c r="O88" s="58" t="str">
        <f>IF(OR(WBS!$F88="",WBS!$T88=""),"",IF(AND(10&gt;=WBS!$F88,10&lt;=WBS!$T88),IF(WBS!$L88="Done",3,IF(WBS!$L88="Doing",2,IF(WBS!$L88="Blocked",4,IF(WBS!$L88="Deferred",5,1)))),""))</f>
        <v/>
      </c>
      <c r="P88" s="58" t="str">
        <f>IF(OR(WBS!$F88="",WBS!$T88=""),"",IF(AND(11&gt;=WBS!$F88,11&lt;=WBS!$T88),IF(WBS!$L88="Done",3,IF(WBS!$L88="Doing",2,IF(WBS!$L88="Blocked",4,IF(WBS!$L88="Deferred",5,1)))),""))</f>
        <v/>
      </c>
      <c r="Q88" s="58">
        <f>IF(OR(WBS!$F88="",WBS!$T88=""),"",IF(AND(12&gt;=WBS!$F88,12&lt;=WBS!$T88),IF(WBS!$L88="Done",3,IF(WBS!$L88="Doing",2,IF(WBS!$L88="Blocked",4,IF(WBS!$L88="Deferred",5,1)))),""))</f>
        <v>1</v>
      </c>
      <c r="R88" s="58" t="str">
        <f>IF(OR(WBS!$F88="",WBS!$T88=""),"",IF(AND(13&gt;=WBS!$F88,13&lt;=WBS!$T88),IF(WBS!$L88="Done",3,IF(WBS!$L88="Doing",2,IF(WBS!$L88="Blocked",4,IF(WBS!$L88="Deferred",5,1)))),""))</f>
        <v/>
      </c>
      <c r="S88" s="58" t="str">
        <f>IF(OR(WBS!$F88="",WBS!$T88=""),"",IF(AND(14&gt;=WBS!$F88,14&lt;=WBS!$T88),IF(WBS!$L88="Done",3,IF(WBS!$L88="Doing",2,IF(WBS!$L88="Blocked",4,IF(WBS!$L88="Deferred",5,1)))),""))</f>
        <v/>
      </c>
      <c r="T88" s="58" t="str">
        <f>IF(OR(WBS!$F88="",WBS!$T88=""),"",IF(AND(15&gt;=WBS!$F88,15&lt;=WBS!$T88),IF(WBS!$L88="Done",3,IF(WBS!$L88="Doing",2,IF(WBS!$L88="Blocked",4,IF(WBS!$L88="Deferred",5,1)))),""))</f>
        <v/>
      </c>
      <c r="U88" s="58" t="str">
        <f>IF(OR(WBS!$F88="",WBS!$T88=""),"",IF(AND(16&gt;=WBS!$F88,16&lt;=WBS!$T88),IF(WBS!$L88="Done",3,IF(WBS!$L88="Doing",2,IF(WBS!$L88="Blocked",4,IF(WBS!$L88="Deferred",5,1)))),""))</f>
        <v/>
      </c>
      <c r="V88" s="58" t="str">
        <f>IF(OR(WBS!$F88="",WBS!$T88=""),"",IF(AND(17&gt;=WBS!$F88,17&lt;=WBS!$T88),IF(WBS!$L88="Done",3,IF(WBS!$L88="Doing",2,IF(WBS!$L88="Blocked",4,IF(WBS!$L88="Deferred",5,1)))),""))</f>
        <v/>
      </c>
      <c r="W88" s="58" t="str">
        <f>IF(OR(WBS!$F88="",WBS!$T88=""),"",IF(AND(18&gt;=WBS!$F88,18&lt;=WBS!$T88),IF(WBS!$L88="Done",3,IF(WBS!$L88="Doing",2,IF(WBS!$L88="Blocked",4,IF(WBS!$L88="Deferred",5,1)))),""))</f>
        <v/>
      </c>
      <c r="X88" s="58" t="str">
        <f>IF(OR(WBS!$F88="",WBS!$T88=""),"",IF(AND(19&gt;=WBS!$F88,19&lt;=WBS!$T88),IF(WBS!$L88="Done",3,IF(WBS!$L88="Doing",2,IF(WBS!$L88="Blocked",4,IF(WBS!$L88="Deferred",5,1)))),""))</f>
        <v/>
      </c>
      <c r="Y88" s="58" t="str">
        <f>IF(OR(WBS!$F88="",WBS!$T88=""),"",IF(AND(20&gt;=WBS!$F88,20&lt;=WBS!$T88),IF(WBS!$L88="Done",3,IF(WBS!$L88="Doing",2,IF(WBS!$L88="Blocked",4,IF(WBS!$L88="Deferred",5,1)))),""))</f>
        <v/>
      </c>
      <c r="Z88" s="58" t="str">
        <f>IF(OR(WBS!$F88="",WBS!$T88=""),"",IF(AND(21&gt;=WBS!$F88,21&lt;=WBS!$T88),IF(WBS!$L88="Done",3,IF(WBS!$L88="Doing",2,IF(WBS!$L88="Blocked",4,IF(WBS!$L88="Deferred",5,1)))),""))</f>
        <v/>
      </c>
    </row>
    <row r="89" spans="1:26" x14ac:dyDescent="0.3">
      <c r="A89" s="64" t="str">
        <f>WBS!$A89</f>
        <v>5.5.3</v>
      </c>
      <c r="B89" s="65" t="str">
        <f>WBS!$C89</f>
        <v xml:space="preserve">        Follow a journey - subscriptions, preferences, quiet hours</v>
      </c>
      <c r="C89" s="66" t="str">
        <f>IF(WBS!$E89="","",WBS!$E89)</f>
        <v>MOB</v>
      </c>
      <c r="D89" s="67">
        <f>WBS!$J89</f>
        <v>1.5</v>
      </c>
      <c r="E89" s="68">
        <f>WBS!$M89</f>
        <v>0</v>
      </c>
      <c r="F89" s="58" t="str">
        <f>IF(OR(WBS!$F89="",WBS!$T89=""),"",IF(AND(1&gt;=WBS!$F89,1&lt;=WBS!$T89),IF(WBS!$L89="Done",3,IF(WBS!$L89="Doing",2,IF(WBS!$L89="Blocked",4,IF(WBS!$L89="Deferred",5,1)))),""))</f>
        <v/>
      </c>
      <c r="G89" s="58" t="str">
        <f>IF(OR(WBS!$F89="",WBS!$T89=""),"",IF(AND(2&gt;=WBS!$F89,2&lt;=WBS!$T89),IF(WBS!$L89="Done",3,IF(WBS!$L89="Doing",2,IF(WBS!$L89="Blocked",4,IF(WBS!$L89="Deferred",5,1)))),""))</f>
        <v/>
      </c>
      <c r="H89" s="58" t="str">
        <f>IF(OR(WBS!$F89="",WBS!$T89=""),"",IF(AND(3&gt;=WBS!$F89,3&lt;=WBS!$T89),IF(WBS!$L89="Done",3,IF(WBS!$L89="Doing",2,IF(WBS!$L89="Blocked",4,IF(WBS!$L89="Deferred",5,1)))),""))</f>
        <v/>
      </c>
      <c r="I89" s="58" t="str">
        <f>IF(OR(WBS!$F89="",WBS!$T89=""),"",IF(AND(4&gt;=WBS!$F89,4&lt;=WBS!$T89),IF(WBS!$L89="Done",3,IF(WBS!$L89="Doing",2,IF(WBS!$L89="Blocked",4,IF(WBS!$L89="Deferred",5,1)))),""))</f>
        <v/>
      </c>
      <c r="J89" s="58" t="str">
        <f>IF(OR(WBS!$F89="",WBS!$T89=""),"",IF(AND(5&gt;=WBS!$F89,5&lt;=WBS!$T89),IF(WBS!$L89="Done",3,IF(WBS!$L89="Doing",2,IF(WBS!$L89="Blocked",4,IF(WBS!$L89="Deferred",5,1)))),""))</f>
        <v/>
      </c>
      <c r="K89" s="58" t="str">
        <f>IF(OR(WBS!$F89="",WBS!$T89=""),"",IF(AND(6&gt;=WBS!$F89,6&lt;=WBS!$T89),IF(WBS!$L89="Done",3,IF(WBS!$L89="Doing",2,IF(WBS!$L89="Blocked",4,IF(WBS!$L89="Deferred",5,1)))),""))</f>
        <v/>
      </c>
      <c r="L89" s="58" t="str">
        <f>IF(OR(WBS!$F89="",WBS!$T89=""),"",IF(AND(7&gt;=WBS!$F89,7&lt;=WBS!$T89),IF(WBS!$L89="Done",3,IF(WBS!$L89="Doing",2,IF(WBS!$L89="Blocked",4,IF(WBS!$L89="Deferred",5,1)))),""))</f>
        <v/>
      </c>
      <c r="M89" s="58" t="str">
        <f>IF(OR(WBS!$F89="",WBS!$T89=""),"",IF(AND(8&gt;=WBS!$F89,8&lt;=WBS!$T89),IF(WBS!$L89="Done",3,IF(WBS!$L89="Doing",2,IF(WBS!$L89="Blocked",4,IF(WBS!$L89="Deferred",5,1)))),""))</f>
        <v/>
      </c>
      <c r="N89" s="58" t="str">
        <f>IF(OR(WBS!$F89="",WBS!$T89=""),"",IF(AND(9&gt;=WBS!$F89,9&lt;=WBS!$T89),IF(WBS!$L89="Done",3,IF(WBS!$L89="Doing",2,IF(WBS!$L89="Blocked",4,IF(WBS!$L89="Deferred",5,1)))),""))</f>
        <v/>
      </c>
      <c r="O89" s="58" t="str">
        <f>IF(OR(WBS!$F89="",WBS!$T89=""),"",IF(AND(10&gt;=WBS!$F89,10&lt;=WBS!$T89),IF(WBS!$L89="Done",3,IF(WBS!$L89="Doing",2,IF(WBS!$L89="Blocked",4,IF(WBS!$L89="Deferred",5,1)))),""))</f>
        <v/>
      </c>
      <c r="P89" s="58" t="str">
        <f>IF(OR(WBS!$F89="",WBS!$T89=""),"",IF(AND(11&gt;=WBS!$F89,11&lt;=WBS!$T89),IF(WBS!$L89="Done",3,IF(WBS!$L89="Doing",2,IF(WBS!$L89="Blocked",4,IF(WBS!$L89="Deferred",5,1)))),""))</f>
        <v/>
      </c>
      <c r="Q89" s="58" t="str">
        <f>IF(OR(WBS!$F89="",WBS!$T89=""),"",IF(AND(12&gt;=WBS!$F89,12&lt;=WBS!$T89),IF(WBS!$L89="Done",3,IF(WBS!$L89="Doing",2,IF(WBS!$L89="Blocked",4,IF(WBS!$L89="Deferred",5,1)))),""))</f>
        <v/>
      </c>
      <c r="R89" s="58">
        <f>IF(OR(WBS!$F89="",WBS!$T89=""),"",IF(AND(13&gt;=WBS!$F89,13&lt;=WBS!$T89),IF(WBS!$L89="Done",3,IF(WBS!$L89="Doing",2,IF(WBS!$L89="Blocked",4,IF(WBS!$L89="Deferred",5,1)))),""))</f>
        <v>1</v>
      </c>
      <c r="S89" s="58" t="str">
        <f>IF(OR(WBS!$F89="",WBS!$T89=""),"",IF(AND(14&gt;=WBS!$F89,14&lt;=WBS!$T89),IF(WBS!$L89="Done",3,IF(WBS!$L89="Doing",2,IF(WBS!$L89="Blocked",4,IF(WBS!$L89="Deferred",5,1)))),""))</f>
        <v/>
      </c>
      <c r="T89" s="58" t="str">
        <f>IF(OR(WBS!$F89="",WBS!$T89=""),"",IF(AND(15&gt;=WBS!$F89,15&lt;=WBS!$T89),IF(WBS!$L89="Done",3,IF(WBS!$L89="Doing",2,IF(WBS!$L89="Blocked",4,IF(WBS!$L89="Deferred",5,1)))),""))</f>
        <v/>
      </c>
      <c r="U89" s="58" t="str">
        <f>IF(OR(WBS!$F89="",WBS!$T89=""),"",IF(AND(16&gt;=WBS!$F89,16&lt;=WBS!$T89),IF(WBS!$L89="Done",3,IF(WBS!$L89="Doing",2,IF(WBS!$L89="Blocked",4,IF(WBS!$L89="Deferred",5,1)))),""))</f>
        <v/>
      </c>
      <c r="V89" s="58" t="str">
        <f>IF(OR(WBS!$F89="",WBS!$T89=""),"",IF(AND(17&gt;=WBS!$F89,17&lt;=WBS!$T89),IF(WBS!$L89="Done",3,IF(WBS!$L89="Doing",2,IF(WBS!$L89="Blocked",4,IF(WBS!$L89="Deferred",5,1)))),""))</f>
        <v/>
      </c>
      <c r="W89" s="58" t="str">
        <f>IF(OR(WBS!$F89="",WBS!$T89=""),"",IF(AND(18&gt;=WBS!$F89,18&lt;=WBS!$T89),IF(WBS!$L89="Done",3,IF(WBS!$L89="Doing",2,IF(WBS!$L89="Blocked",4,IF(WBS!$L89="Deferred",5,1)))),""))</f>
        <v/>
      </c>
      <c r="X89" s="58" t="str">
        <f>IF(OR(WBS!$F89="",WBS!$T89=""),"",IF(AND(19&gt;=WBS!$F89,19&lt;=WBS!$T89),IF(WBS!$L89="Done",3,IF(WBS!$L89="Doing",2,IF(WBS!$L89="Blocked",4,IF(WBS!$L89="Deferred",5,1)))),""))</f>
        <v/>
      </c>
      <c r="Y89" s="58" t="str">
        <f>IF(OR(WBS!$F89="",WBS!$T89=""),"",IF(AND(20&gt;=WBS!$F89,20&lt;=WBS!$T89),IF(WBS!$L89="Done",3,IF(WBS!$L89="Doing",2,IF(WBS!$L89="Blocked",4,IF(WBS!$L89="Deferred",5,1)))),""))</f>
        <v/>
      </c>
      <c r="Z89" s="58" t="str">
        <f>IF(OR(WBS!$F89="",WBS!$T89=""),"",IF(AND(21&gt;=WBS!$F89,21&lt;=WBS!$T89),IF(WBS!$L89="Done",3,IF(WBS!$L89="Doing",2,IF(WBS!$L89="Blocked",4,IF(WBS!$L89="Deferred",5,1)))),""))</f>
        <v/>
      </c>
    </row>
    <row r="90" spans="1:26" x14ac:dyDescent="0.3">
      <c r="A90" s="64" t="str">
        <f>WBS!$A90</f>
        <v>5.5.4</v>
      </c>
      <c r="B90" s="65" t="str">
        <f>WBS!$C90</f>
        <v xml:space="preserve">        Push notifications via FCM with dedup verification</v>
      </c>
      <c r="C90" s="66" t="str">
        <f>IF(WBS!$E90="","",WBS!$E90)</f>
        <v>MOB</v>
      </c>
      <c r="D90" s="67">
        <f>WBS!$J90</f>
        <v>1.5</v>
      </c>
      <c r="E90" s="68">
        <f>WBS!$M90</f>
        <v>0</v>
      </c>
      <c r="F90" s="58" t="str">
        <f>IF(OR(WBS!$F90="",WBS!$T90=""),"",IF(AND(1&gt;=WBS!$F90,1&lt;=WBS!$T90),IF(WBS!$L90="Done",3,IF(WBS!$L90="Doing",2,IF(WBS!$L90="Blocked",4,IF(WBS!$L90="Deferred",5,1)))),""))</f>
        <v/>
      </c>
      <c r="G90" s="58" t="str">
        <f>IF(OR(WBS!$F90="",WBS!$T90=""),"",IF(AND(2&gt;=WBS!$F90,2&lt;=WBS!$T90),IF(WBS!$L90="Done",3,IF(WBS!$L90="Doing",2,IF(WBS!$L90="Blocked",4,IF(WBS!$L90="Deferred",5,1)))),""))</f>
        <v/>
      </c>
      <c r="H90" s="58" t="str">
        <f>IF(OR(WBS!$F90="",WBS!$T90=""),"",IF(AND(3&gt;=WBS!$F90,3&lt;=WBS!$T90),IF(WBS!$L90="Done",3,IF(WBS!$L90="Doing",2,IF(WBS!$L90="Blocked",4,IF(WBS!$L90="Deferred",5,1)))),""))</f>
        <v/>
      </c>
      <c r="I90" s="58" t="str">
        <f>IF(OR(WBS!$F90="",WBS!$T90=""),"",IF(AND(4&gt;=WBS!$F90,4&lt;=WBS!$T90),IF(WBS!$L90="Done",3,IF(WBS!$L90="Doing",2,IF(WBS!$L90="Blocked",4,IF(WBS!$L90="Deferred",5,1)))),""))</f>
        <v/>
      </c>
      <c r="J90" s="58" t="str">
        <f>IF(OR(WBS!$F90="",WBS!$T90=""),"",IF(AND(5&gt;=WBS!$F90,5&lt;=WBS!$T90),IF(WBS!$L90="Done",3,IF(WBS!$L90="Doing",2,IF(WBS!$L90="Blocked",4,IF(WBS!$L90="Deferred",5,1)))),""))</f>
        <v/>
      </c>
      <c r="K90" s="58" t="str">
        <f>IF(OR(WBS!$F90="",WBS!$T90=""),"",IF(AND(6&gt;=WBS!$F90,6&lt;=WBS!$T90),IF(WBS!$L90="Done",3,IF(WBS!$L90="Doing",2,IF(WBS!$L90="Blocked",4,IF(WBS!$L90="Deferred",5,1)))),""))</f>
        <v/>
      </c>
      <c r="L90" s="58" t="str">
        <f>IF(OR(WBS!$F90="",WBS!$T90=""),"",IF(AND(7&gt;=WBS!$F90,7&lt;=WBS!$T90),IF(WBS!$L90="Done",3,IF(WBS!$L90="Doing",2,IF(WBS!$L90="Blocked",4,IF(WBS!$L90="Deferred",5,1)))),""))</f>
        <v/>
      </c>
      <c r="M90" s="58" t="str">
        <f>IF(OR(WBS!$F90="",WBS!$T90=""),"",IF(AND(8&gt;=WBS!$F90,8&lt;=WBS!$T90),IF(WBS!$L90="Done",3,IF(WBS!$L90="Doing",2,IF(WBS!$L90="Blocked",4,IF(WBS!$L90="Deferred",5,1)))),""))</f>
        <v/>
      </c>
      <c r="N90" s="58" t="str">
        <f>IF(OR(WBS!$F90="",WBS!$T90=""),"",IF(AND(9&gt;=WBS!$F90,9&lt;=WBS!$T90),IF(WBS!$L90="Done",3,IF(WBS!$L90="Doing",2,IF(WBS!$L90="Blocked",4,IF(WBS!$L90="Deferred",5,1)))),""))</f>
        <v/>
      </c>
      <c r="O90" s="58" t="str">
        <f>IF(OR(WBS!$F90="",WBS!$T90=""),"",IF(AND(10&gt;=WBS!$F90,10&lt;=WBS!$T90),IF(WBS!$L90="Done",3,IF(WBS!$L90="Doing",2,IF(WBS!$L90="Blocked",4,IF(WBS!$L90="Deferred",5,1)))),""))</f>
        <v/>
      </c>
      <c r="P90" s="58" t="str">
        <f>IF(OR(WBS!$F90="",WBS!$T90=""),"",IF(AND(11&gt;=WBS!$F90,11&lt;=WBS!$T90),IF(WBS!$L90="Done",3,IF(WBS!$L90="Doing",2,IF(WBS!$L90="Blocked",4,IF(WBS!$L90="Deferred",5,1)))),""))</f>
        <v/>
      </c>
      <c r="Q90" s="58" t="str">
        <f>IF(OR(WBS!$F90="",WBS!$T90=""),"",IF(AND(12&gt;=WBS!$F90,12&lt;=WBS!$T90),IF(WBS!$L90="Done",3,IF(WBS!$L90="Doing",2,IF(WBS!$L90="Blocked",4,IF(WBS!$L90="Deferred",5,1)))),""))</f>
        <v/>
      </c>
      <c r="R90" s="58">
        <f>IF(OR(WBS!$F90="",WBS!$T90=""),"",IF(AND(13&gt;=WBS!$F90,13&lt;=WBS!$T90),IF(WBS!$L90="Done",3,IF(WBS!$L90="Doing",2,IF(WBS!$L90="Blocked",4,IF(WBS!$L90="Deferred",5,1)))),""))</f>
        <v>1</v>
      </c>
      <c r="S90" s="58" t="str">
        <f>IF(OR(WBS!$F90="",WBS!$T90=""),"",IF(AND(14&gt;=WBS!$F90,14&lt;=WBS!$T90),IF(WBS!$L90="Done",3,IF(WBS!$L90="Doing",2,IF(WBS!$L90="Blocked",4,IF(WBS!$L90="Deferred",5,1)))),""))</f>
        <v/>
      </c>
      <c r="T90" s="58" t="str">
        <f>IF(OR(WBS!$F90="",WBS!$T90=""),"",IF(AND(15&gt;=WBS!$F90,15&lt;=WBS!$T90),IF(WBS!$L90="Done",3,IF(WBS!$L90="Doing",2,IF(WBS!$L90="Blocked",4,IF(WBS!$L90="Deferred",5,1)))),""))</f>
        <v/>
      </c>
      <c r="U90" s="58" t="str">
        <f>IF(OR(WBS!$F90="",WBS!$T90=""),"",IF(AND(16&gt;=WBS!$F90,16&lt;=WBS!$T90),IF(WBS!$L90="Done",3,IF(WBS!$L90="Doing",2,IF(WBS!$L90="Blocked",4,IF(WBS!$L90="Deferred",5,1)))),""))</f>
        <v/>
      </c>
      <c r="V90" s="58" t="str">
        <f>IF(OR(WBS!$F90="",WBS!$T90=""),"",IF(AND(17&gt;=WBS!$F90,17&lt;=WBS!$T90),IF(WBS!$L90="Done",3,IF(WBS!$L90="Doing",2,IF(WBS!$L90="Blocked",4,IF(WBS!$L90="Deferred",5,1)))),""))</f>
        <v/>
      </c>
      <c r="W90" s="58" t="str">
        <f>IF(OR(WBS!$F90="",WBS!$T90=""),"",IF(AND(18&gt;=WBS!$F90,18&lt;=WBS!$T90),IF(WBS!$L90="Done",3,IF(WBS!$L90="Doing",2,IF(WBS!$L90="Blocked",4,IF(WBS!$L90="Deferred",5,1)))),""))</f>
        <v/>
      </c>
      <c r="X90" s="58" t="str">
        <f>IF(OR(WBS!$F90="",WBS!$T90=""),"",IF(AND(19&gt;=WBS!$F90,19&lt;=WBS!$T90),IF(WBS!$L90="Done",3,IF(WBS!$L90="Doing",2,IF(WBS!$L90="Blocked",4,IF(WBS!$L90="Deferred",5,1)))),""))</f>
        <v/>
      </c>
      <c r="Y90" s="58" t="str">
        <f>IF(OR(WBS!$F90="",WBS!$T90=""),"",IF(AND(20&gt;=WBS!$F90,20&lt;=WBS!$T90),IF(WBS!$L90="Done",3,IF(WBS!$L90="Doing",2,IF(WBS!$L90="Blocked",4,IF(WBS!$L90="Deferred",5,1)))),""))</f>
        <v/>
      </c>
      <c r="Z90" s="58" t="str">
        <f>IF(OR(WBS!$F90="",WBS!$T90=""),"",IF(AND(21&gt;=WBS!$F90,21&lt;=WBS!$T90),IF(WBS!$L90="Done",3,IF(WBS!$L90="Doing",2,IF(WBS!$L90="Blocked",4,IF(WBS!$L90="Deferred",5,1)))),""))</f>
        <v/>
      </c>
    </row>
    <row r="91" spans="1:26" x14ac:dyDescent="0.3">
      <c r="A91" s="59" t="str">
        <f>WBS!$A91</f>
        <v>5.6</v>
      </c>
      <c r="B91" s="60" t="str">
        <f>WBS!$C91</f>
        <v xml:space="preserve">    Driver application</v>
      </c>
      <c r="C91" s="61" t="str">
        <f>IF(WBS!$E91="","",WBS!$E91)</f>
        <v/>
      </c>
      <c r="D91" s="62">
        <f>WBS!$J91</f>
        <v>5</v>
      </c>
      <c r="E91" s="63">
        <f>WBS!$M91</f>
        <v>0</v>
      </c>
      <c r="F91" s="58" t="str">
        <f>IF(OR(WBS!$F91="",WBS!$T91=""),"",IF(AND(1&gt;=WBS!$F91,1&lt;=WBS!$T91),IF(WBS!$L91="Done",3,IF(WBS!$L91="Doing",2,IF(WBS!$L91="Blocked",4,IF(WBS!$L91="Deferred",5,1)))),""))</f>
        <v/>
      </c>
      <c r="G91" s="58" t="str">
        <f>IF(OR(WBS!$F91="",WBS!$T91=""),"",IF(AND(2&gt;=WBS!$F91,2&lt;=WBS!$T91),IF(WBS!$L91="Done",3,IF(WBS!$L91="Doing",2,IF(WBS!$L91="Blocked",4,IF(WBS!$L91="Deferred",5,1)))),""))</f>
        <v/>
      </c>
      <c r="H91" s="58" t="str">
        <f>IF(OR(WBS!$F91="",WBS!$T91=""),"",IF(AND(3&gt;=WBS!$F91,3&lt;=WBS!$T91),IF(WBS!$L91="Done",3,IF(WBS!$L91="Doing",2,IF(WBS!$L91="Blocked",4,IF(WBS!$L91="Deferred",5,1)))),""))</f>
        <v/>
      </c>
      <c r="I91" s="58" t="str">
        <f>IF(OR(WBS!$F91="",WBS!$T91=""),"",IF(AND(4&gt;=WBS!$F91,4&lt;=WBS!$T91),IF(WBS!$L91="Done",3,IF(WBS!$L91="Doing",2,IF(WBS!$L91="Blocked",4,IF(WBS!$L91="Deferred",5,1)))),""))</f>
        <v/>
      </c>
      <c r="J91" s="58" t="str">
        <f>IF(OR(WBS!$F91="",WBS!$T91=""),"",IF(AND(5&gt;=WBS!$F91,5&lt;=WBS!$T91),IF(WBS!$L91="Done",3,IF(WBS!$L91="Doing",2,IF(WBS!$L91="Blocked",4,IF(WBS!$L91="Deferred",5,1)))),""))</f>
        <v/>
      </c>
      <c r="K91" s="58" t="str">
        <f>IF(OR(WBS!$F91="",WBS!$T91=""),"",IF(AND(6&gt;=WBS!$F91,6&lt;=WBS!$T91),IF(WBS!$L91="Done",3,IF(WBS!$L91="Doing",2,IF(WBS!$L91="Blocked",4,IF(WBS!$L91="Deferred",5,1)))),""))</f>
        <v/>
      </c>
      <c r="L91" s="58" t="str">
        <f>IF(OR(WBS!$F91="",WBS!$T91=""),"",IF(AND(7&gt;=WBS!$F91,7&lt;=WBS!$T91),IF(WBS!$L91="Done",3,IF(WBS!$L91="Doing",2,IF(WBS!$L91="Blocked",4,IF(WBS!$L91="Deferred",5,1)))),""))</f>
        <v/>
      </c>
      <c r="M91" s="58" t="str">
        <f>IF(OR(WBS!$F91="",WBS!$T91=""),"",IF(AND(8&gt;=WBS!$F91,8&lt;=WBS!$T91),IF(WBS!$L91="Done",3,IF(WBS!$L91="Doing",2,IF(WBS!$L91="Blocked",4,IF(WBS!$L91="Deferred",5,1)))),""))</f>
        <v/>
      </c>
      <c r="N91" s="58" t="str">
        <f>IF(OR(WBS!$F91="",WBS!$T91=""),"",IF(AND(9&gt;=WBS!$F91,9&lt;=WBS!$T91),IF(WBS!$L91="Done",3,IF(WBS!$L91="Doing",2,IF(WBS!$L91="Blocked",4,IF(WBS!$L91="Deferred",5,1)))),""))</f>
        <v/>
      </c>
      <c r="O91" s="58" t="str">
        <f>IF(OR(WBS!$F91="",WBS!$T91=""),"",IF(AND(10&gt;=WBS!$F91,10&lt;=WBS!$T91),IF(WBS!$L91="Done",3,IF(WBS!$L91="Doing",2,IF(WBS!$L91="Blocked",4,IF(WBS!$L91="Deferred",5,1)))),""))</f>
        <v/>
      </c>
      <c r="P91" s="58" t="str">
        <f>IF(OR(WBS!$F91="",WBS!$T91=""),"",IF(AND(11&gt;=WBS!$F91,11&lt;=WBS!$T91),IF(WBS!$L91="Done",3,IF(WBS!$L91="Doing",2,IF(WBS!$L91="Blocked",4,IF(WBS!$L91="Deferred",5,1)))),""))</f>
        <v/>
      </c>
      <c r="Q91" s="58" t="str">
        <f>IF(OR(WBS!$F91="",WBS!$T91=""),"",IF(AND(12&gt;=WBS!$F91,12&lt;=WBS!$T91),IF(WBS!$L91="Done",3,IF(WBS!$L91="Doing",2,IF(WBS!$L91="Blocked",4,IF(WBS!$L91="Deferred",5,1)))),""))</f>
        <v/>
      </c>
      <c r="R91" s="58">
        <f>IF(OR(WBS!$F91="",WBS!$T91=""),"",IF(AND(13&gt;=WBS!$F91,13&lt;=WBS!$T91),IF(WBS!$L91="Done",3,IF(WBS!$L91="Doing",2,IF(WBS!$L91="Blocked",4,IF(WBS!$L91="Deferred",5,1)))),""))</f>
        <v>1</v>
      </c>
      <c r="S91" s="58" t="str">
        <f>IF(OR(WBS!$F91="",WBS!$T91=""),"",IF(AND(14&gt;=WBS!$F91,14&lt;=WBS!$T91),IF(WBS!$L91="Done",3,IF(WBS!$L91="Doing",2,IF(WBS!$L91="Blocked",4,IF(WBS!$L91="Deferred",5,1)))),""))</f>
        <v/>
      </c>
      <c r="T91" s="58" t="str">
        <f>IF(OR(WBS!$F91="",WBS!$T91=""),"",IF(AND(15&gt;=WBS!$F91,15&lt;=WBS!$T91),IF(WBS!$L91="Done",3,IF(WBS!$L91="Doing",2,IF(WBS!$L91="Blocked",4,IF(WBS!$L91="Deferred",5,1)))),""))</f>
        <v/>
      </c>
      <c r="U91" s="58" t="str">
        <f>IF(OR(WBS!$F91="",WBS!$T91=""),"",IF(AND(16&gt;=WBS!$F91,16&lt;=WBS!$T91),IF(WBS!$L91="Done",3,IF(WBS!$L91="Doing",2,IF(WBS!$L91="Blocked",4,IF(WBS!$L91="Deferred",5,1)))),""))</f>
        <v/>
      </c>
      <c r="V91" s="58" t="str">
        <f>IF(OR(WBS!$F91="",WBS!$T91=""),"",IF(AND(17&gt;=WBS!$F91,17&lt;=WBS!$T91),IF(WBS!$L91="Done",3,IF(WBS!$L91="Doing",2,IF(WBS!$L91="Blocked",4,IF(WBS!$L91="Deferred",5,1)))),""))</f>
        <v/>
      </c>
      <c r="W91" s="58" t="str">
        <f>IF(OR(WBS!$F91="",WBS!$T91=""),"",IF(AND(18&gt;=WBS!$F91,18&lt;=WBS!$T91),IF(WBS!$L91="Done",3,IF(WBS!$L91="Doing",2,IF(WBS!$L91="Blocked",4,IF(WBS!$L91="Deferred",5,1)))),""))</f>
        <v/>
      </c>
      <c r="X91" s="58" t="str">
        <f>IF(OR(WBS!$F91="",WBS!$T91=""),"",IF(AND(19&gt;=WBS!$F91,19&lt;=WBS!$T91),IF(WBS!$L91="Done",3,IF(WBS!$L91="Doing",2,IF(WBS!$L91="Blocked",4,IF(WBS!$L91="Deferred",5,1)))),""))</f>
        <v/>
      </c>
      <c r="Y91" s="58" t="str">
        <f>IF(OR(WBS!$F91="",WBS!$T91=""),"",IF(AND(20&gt;=WBS!$F91,20&lt;=WBS!$T91),IF(WBS!$L91="Done",3,IF(WBS!$L91="Doing",2,IF(WBS!$L91="Blocked",4,IF(WBS!$L91="Deferred",5,1)))),""))</f>
        <v/>
      </c>
      <c r="Z91" s="58" t="str">
        <f>IF(OR(WBS!$F91="",WBS!$T91=""),"",IF(AND(21&gt;=WBS!$F91,21&lt;=WBS!$T91),IF(WBS!$L91="Done",3,IF(WBS!$L91="Doing",2,IF(WBS!$L91="Blocked",4,IF(WBS!$L91="Deferred",5,1)))),""))</f>
        <v/>
      </c>
    </row>
    <row r="92" spans="1:26" x14ac:dyDescent="0.3">
      <c r="A92" s="64" t="str">
        <f>WBS!$A92</f>
        <v>5.6.1</v>
      </c>
      <c r="B92" s="65" t="str">
        <f>WBS!$C92</f>
        <v xml:space="preserve">        Duty roster and sign-on</v>
      </c>
      <c r="C92" s="66" t="str">
        <f>IF(WBS!$E92="","",WBS!$E92)</f>
        <v>MOB</v>
      </c>
      <c r="D92" s="67">
        <f>WBS!$J92</f>
        <v>1.5</v>
      </c>
      <c r="E92" s="68">
        <f>WBS!$M92</f>
        <v>0</v>
      </c>
      <c r="F92" s="58" t="str">
        <f>IF(OR(WBS!$F92="",WBS!$T92=""),"",IF(AND(1&gt;=WBS!$F92,1&lt;=WBS!$T92),IF(WBS!$L92="Done",3,IF(WBS!$L92="Doing",2,IF(WBS!$L92="Blocked",4,IF(WBS!$L92="Deferred",5,1)))),""))</f>
        <v/>
      </c>
      <c r="G92" s="58" t="str">
        <f>IF(OR(WBS!$F92="",WBS!$T92=""),"",IF(AND(2&gt;=WBS!$F92,2&lt;=WBS!$T92),IF(WBS!$L92="Done",3,IF(WBS!$L92="Doing",2,IF(WBS!$L92="Blocked",4,IF(WBS!$L92="Deferred",5,1)))),""))</f>
        <v/>
      </c>
      <c r="H92" s="58" t="str">
        <f>IF(OR(WBS!$F92="",WBS!$T92=""),"",IF(AND(3&gt;=WBS!$F92,3&lt;=WBS!$T92),IF(WBS!$L92="Done",3,IF(WBS!$L92="Doing",2,IF(WBS!$L92="Blocked",4,IF(WBS!$L92="Deferred",5,1)))),""))</f>
        <v/>
      </c>
      <c r="I92" s="58" t="str">
        <f>IF(OR(WBS!$F92="",WBS!$T92=""),"",IF(AND(4&gt;=WBS!$F92,4&lt;=WBS!$T92),IF(WBS!$L92="Done",3,IF(WBS!$L92="Doing",2,IF(WBS!$L92="Blocked",4,IF(WBS!$L92="Deferred",5,1)))),""))</f>
        <v/>
      </c>
      <c r="J92" s="58" t="str">
        <f>IF(OR(WBS!$F92="",WBS!$T92=""),"",IF(AND(5&gt;=WBS!$F92,5&lt;=WBS!$T92),IF(WBS!$L92="Done",3,IF(WBS!$L92="Doing",2,IF(WBS!$L92="Blocked",4,IF(WBS!$L92="Deferred",5,1)))),""))</f>
        <v/>
      </c>
      <c r="K92" s="58" t="str">
        <f>IF(OR(WBS!$F92="",WBS!$T92=""),"",IF(AND(6&gt;=WBS!$F92,6&lt;=WBS!$T92),IF(WBS!$L92="Done",3,IF(WBS!$L92="Doing",2,IF(WBS!$L92="Blocked",4,IF(WBS!$L92="Deferred",5,1)))),""))</f>
        <v/>
      </c>
      <c r="L92" s="58" t="str">
        <f>IF(OR(WBS!$F92="",WBS!$T92=""),"",IF(AND(7&gt;=WBS!$F92,7&lt;=WBS!$T92),IF(WBS!$L92="Done",3,IF(WBS!$L92="Doing",2,IF(WBS!$L92="Blocked",4,IF(WBS!$L92="Deferred",5,1)))),""))</f>
        <v/>
      </c>
      <c r="M92" s="58" t="str">
        <f>IF(OR(WBS!$F92="",WBS!$T92=""),"",IF(AND(8&gt;=WBS!$F92,8&lt;=WBS!$T92),IF(WBS!$L92="Done",3,IF(WBS!$L92="Doing",2,IF(WBS!$L92="Blocked",4,IF(WBS!$L92="Deferred",5,1)))),""))</f>
        <v/>
      </c>
      <c r="N92" s="58" t="str">
        <f>IF(OR(WBS!$F92="",WBS!$T92=""),"",IF(AND(9&gt;=WBS!$F92,9&lt;=WBS!$T92),IF(WBS!$L92="Done",3,IF(WBS!$L92="Doing",2,IF(WBS!$L92="Blocked",4,IF(WBS!$L92="Deferred",5,1)))),""))</f>
        <v/>
      </c>
      <c r="O92" s="58" t="str">
        <f>IF(OR(WBS!$F92="",WBS!$T92=""),"",IF(AND(10&gt;=WBS!$F92,10&lt;=WBS!$T92),IF(WBS!$L92="Done",3,IF(WBS!$L92="Doing",2,IF(WBS!$L92="Blocked",4,IF(WBS!$L92="Deferred",5,1)))),""))</f>
        <v/>
      </c>
      <c r="P92" s="58" t="str">
        <f>IF(OR(WBS!$F92="",WBS!$T92=""),"",IF(AND(11&gt;=WBS!$F92,11&lt;=WBS!$T92),IF(WBS!$L92="Done",3,IF(WBS!$L92="Doing",2,IF(WBS!$L92="Blocked",4,IF(WBS!$L92="Deferred",5,1)))),""))</f>
        <v/>
      </c>
      <c r="Q92" s="58" t="str">
        <f>IF(OR(WBS!$F92="",WBS!$T92=""),"",IF(AND(12&gt;=WBS!$F92,12&lt;=WBS!$T92),IF(WBS!$L92="Done",3,IF(WBS!$L92="Doing",2,IF(WBS!$L92="Blocked",4,IF(WBS!$L92="Deferred",5,1)))),""))</f>
        <v/>
      </c>
      <c r="R92" s="58">
        <f>IF(OR(WBS!$F92="",WBS!$T92=""),"",IF(AND(13&gt;=WBS!$F92,13&lt;=WBS!$T92),IF(WBS!$L92="Done",3,IF(WBS!$L92="Doing",2,IF(WBS!$L92="Blocked",4,IF(WBS!$L92="Deferred",5,1)))),""))</f>
        <v>1</v>
      </c>
      <c r="S92" s="58" t="str">
        <f>IF(OR(WBS!$F92="",WBS!$T92=""),"",IF(AND(14&gt;=WBS!$F92,14&lt;=WBS!$T92),IF(WBS!$L92="Done",3,IF(WBS!$L92="Doing",2,IF(WBS!$L92="Blocked",4,IF(WBS!$L92="Deferred",5,1)))),""))</f>
        <v/>
      </c>
      <c r="T92" s="58" t="str">
        <f>IF(OR(WBS!$F92="",WBS!$T92=""),"",IF(AND(15&gt;=WBS!$F92,15&lt;=WBS!$T92),IF(WBS!$L92="Done",3,IF(WBS!$L92="Doing",2,IF(WBS!$L92="Blocked",4,IF(WBS!$L92="Deferred",5,1)))),""))</f>
        <v/>
      </c>
      <c r="U92" s="58" t="str">
        <f>IF(OR(WBS!$F92="",WBS!$T92=""),"",IF(AND(16&gt;=WBS!$F92,16&lt;=WBS!$T92),IF(WBS!$L92="Done",3,IF(WBS!$L92="Doing",2,IF(WBS!$L92="Blocked",4,IF(WBS!$L92="Deferred",5,1)))),""))</f>
        <v/>
      </c>
      <c r="V92" s="58" t="str">
        <f>IF(OR(WBS!$F92="",WBS!$T92=""),"",IF(AND(17&gt;=WBS!$F92,17&lt;=WBS!$T92),IF(WBS!$L92="Done",3,IF(WBS!$L92="Doing",2,IF(WBS!$L92="Blocked",4,IF(WBS!$L92="Deferred",5,1)))),""))</f>
        <v/>
      </c>
      <c r="W92" s="58" t="str">
        <f>IF(OR(WBS!$F92="",WBS!$T92=""),"",IF(AND(18&gt;=WBS!$F92,18&lt;=WBS!$T92),IF(WBS!$L92="Done",3,IF(WBS!$L92="Doing",2,IF(WBS!$L92="Blocked",4,IF(WBS!$L92="Deferred",5,1)))),""))</f>
        <v/>
      </c>
      <c r="X92" s="58" t="str">
        <f>IF(OR(WBS!$F92="",WBS!$T92=""),"",IF(AND(19&gt;=WBS!$F92,19&lt;=WBS!$T92),IF(WBS!$L92="Done",3,IF(WBS!$L92="Doing",2,IF(WBS!$L92="Blocked",4,IF(WBS!$L92="Deferred",5,1)))),""))</f>
        <v/>
      </c>
      <c r="Y92" s="58" t="str">
        <f>IF(OR(WBS!$F92="",WBS!$T92=""),"",IF(AND(20&gt;=WBS!$F92,20&lt;=WBS!$T92),IF(WBS!$L92="Done",3,IF(WBS!$L92="Doing",2,IF(WBS!$L92="Blocked",4,IF(WBS!$L92="Deferred",5,1)))),""))</f>
        <v/>
      </c>
      <c r="Z92" s="58" t="str">
        <f>IF(OR(WBS!$F92="",WBS!$T92=""),"",IF(AND(21&gt;=WBS!$F92,21&lt;=WBS!$T92),IF(WBS!$L92="Done",3,IF(WBS!$L92="Doing",2,IF(WBS!$L92="Blocked",4,IF(WBS!$L92="Deferred",5,1)))),""))</f>
        <v/>
      </c>
    </row>
    <row r="93" spans="1:26" x14ac:dyDescent="0.3">
      <c r="A93" s="64" t="str">
        <f>WBS!$A93</f>
        <v>5.6.2</v>
      </c>
      <c r="B93" s="65" t="str">
        <f>WBS!$C93</f>
        <v xml:space="preserve">        Active journey glanceable stop list</v>
      </c>
      <c r="C93" s="66" t="str">
        <f>IF(WBS!$E93="","",WBS!$E93)</f>
        <v>MOB</v>
      </c>
      <c r="D93" s="67">
        <f>WBS!$J93</f>
        <v>1.5</v>
      </c>
      <c r="E93" s="68">
        <f>WBS!$M93</f>
        <v>0</v>
      </c>
      <c r="F93" s="58" t="str">
        <f>IF(OR(WBS!$F93="",WBS!$T93=""),"",IF(AND(1&gt;=WBS!$F93,1&lt;=WBS!$T93),IF(WBS!$L93="Done",3,IF(WBS!$L93="Doing",2,IF(WBS!$L93="Blocked",4,IF(WBS!$L93="Deferred",5,1)))),""))</f>
        <v/>
      </c>
      <c r="G93" s="58" t="str">
        <f>IF(OR(WBS!$F93="",WBS!$T93=""),"",IF(AND(2&gt;=WBS!$F93,2&lt;=WBS!$T93),IF(WBS!$L93="Done",3,IF(WBS!$L93="Doing",2,IF(WBS!$L93="Blocked",4,IF(WBS!$L93="Deferred",5,1)))),""))</f>
        <v/>
      </c>
      <c r="H93" s="58" t="str">
        <f>IF(OR(WBS!$F93="",WBS!$T93=""),"",IF(AND(3&gt;=WBS!$F93,3&lt;=WBS!$T93),IF(WBS!$L93="Done",3,IF(WBS!$L93="Doing",2,IF(WBS!$L93="Blocked",4,IF(WBS!$L93="Deferred",5,1)))),""))</f>
        <v/>
      </c>
      <c r="I93" s="58" t="str">
        <f>IF(OR(WBS!$F93="",WBS!$T93=""),"",IF(AND(4&gt;=WBS!$F93,4&lt;=WBS!$T93),IF(WBS!$L93="Done",3,IF(WBS!$L93="Doing",2,IF(WBS!$L93="Blocked",4,IF(WBS!$L93="Deferred",5,1)))),""))</f>
        <v/>
      </c>
      <c r="J93" s="58" t="str">
        <f>IF(OR(WBS!$F93="",WBS!$T93=""),"",IF(AND(5&gt;=WBS!$F93,5&lt;=WBS!$T93),IF(WBS!$L93="Done",3,IF(WBS!$L93="Doing",2,IF(WBS!$L93="Blocked",4,IF(WBS!$L93="Deferred",5,1)))),""))</f>
        <v/>
      </c>
      <c r="K93" s="58" t="str">
        <f>IF(OR(WBS!$F93="",WBS!$T93=""),"",IF(AND(6&gt;=WBS!$F93,6&lt;=WBS!$T93),IF(WBS!$L93="Done",3,IF(WBS!$L93="Doing",2,IF(WBS!$L93="Blocked",4,IF(WBS!$L93="Deferred",5,1)))),""))</f>
        <v/>
      </c>
      <c r="L93" s="58" t="str">
        <f>IF(OR(WBS!$F93="",WBS!$T93=""),"",IF(AND(7&gt;=WBS!$F93,7&lt;=WBS!$T93),IF(WBS!$L93="Done",3,IF(WBS!$L93="Doing",2,IF(WBS!$L93="Blocked",4,IF(WBS!$L93="Deferred",5,1)))),""))</f>
        <v/>
      </c>
      <c r="M93" s="58" t="str">
        <f>IF(OR(WBS!$F93="",WBS!$T93=""),"",IF(AND(8&gt;=WBS!$F93,8&lt;=WBS!$T93),IF(WBS!$L93="Done",3,IF(WBS!$L93="Doing",2,IF(WBS!$L93="Blocked",4,IF(WBS!$L93="Deferred",5,1)))),""))</f>
        <v/>
      </c>
      <c r="N93" s="58" t="str">
        <f>IF(OR(WBS!$F93="",WBS!$T93=""),"",IF(AND(9&gt;=WBS!$F93,9&lt;=WBS!$T93),IF(WBS!$L93="Done",3,IF(WBS!$L93="Doing",2,IF(WBS!$L93="Blocked",4,IF(WBS!$L93="Deferred",5,1)))),""))</f>
        <v/>
      </c>
      <c r="O93" s="58" t="str">
        <f>IF(OR(WBS!$F93="",WBS!$T93=""),"",IF(AND(10&gt;=WBS!$F93,10&lt;=WBS!$T93),IF(WBS!$L93="Done",3,IF(WBS!$L93="Doing",2,IF(WBS!$L93="Blocked",4,IF(WBS!$L93="Deferred",5,1)))),""))</f>
        <v/>
      </c>
      <c r="P93" s="58" t="str">
        <f>IF(OR(WBS!$F93="",WBS!$T93=""),"",IF(AND(11&gt;=WBS!$F93,11&lt;=WBS!$T93),IF(WBS!$L93="Done",3,IF(WBS!$L93="Doing",2,IF(WBS!$L93="Blocked",4,IF(WBS!$L93="Deferred",5,1)))),""))</f>
        <v/>
      </c>
      <c r="Q93" s="58" t="str">
        <f>IF(OR(WBS!$F93="",WBS!$T93=""),"",IF(AND(12&gt;=WBS!$F93,12&lt;=WBS!$T93),IF(WBS!$L93="Done",3,IF(WBS!$L93="Doing",2,IF(WBS!$L93="Blocked",4,IF(WBS!$L93="Deferred",5,1)))),""))</f>
        <v/>
      </c>
      <c r="R93" s="58">
        <f>IF(OR(WBS!$F93="",WBS!$T93=""),"",IF(AND(13&gt;=WBS!$F93,13&lt;=WBS!$T93),IF(WBS!$L93="Done",3,IF(WBS!$L93="Doing",2,IF(WBS!$L93="Blocked",4,IF(WBS!$L93="Deferred",5,1)))),""))</f>
        <v>1</v>
      </c>
      <c r="S93" s="58" t="str">
        <f>IF(OR(WBS!$F93="",WBS!$T93=""),"",IF(AND(14&gt;=WBS!$F93,14&lt;=WBS!$T93),IF(WBS!$L93="Done",3,IF(WBS!$L93="Doing",2,IF(WBS!$L93="Blocked",4,IF(WBS!$L93="Deferred",5,1)))),""))</f>
        <v/>
      </c>
      <c r="T93" s="58" t="str">
        <f>IF(OR(WBS!$F93="",WBS!$T93=""),"",IF(AND(15&gt;=WBS!$F93,15&lt;=WBS!$T93),IF(WBS!$L93="Done",3,IF(WBS!$L93="Doing",2,IF(WBS!$L93="Blocked",4,IF(WBS!$L93="Deferred",5,1)))),""))</f>
        <v/>
      </c>
      <c r="U93" s="58" t="str">
        <f>IF(OR(WBS!$F93="",WBS!$T93=""),"",IF(AND(16&gt;=WBS!$F93,16&lt;=WBS!$T93),IF(WBS!$L93="Done",3,IF(WBS!$L93="Doing",2,IF(WBS!$L93="Blocked",4,IF(WBS!$L93="Deferred",5,1)))),""))</f>
        <v/>
      </c>
      <c r="V93" s="58" t="str">
        <f>IF(OR(WBS!$F93="",WBS!$T93=""),"",IF(AND(17&gt;=WBS!$F93,17&lt;=WBS!$T93),IF(WBS!$L93="Done",3,IF(WBS!$L93="Doing",2,IF(WBS!$L93="Blocked",4,IF(WBS!$L93="Deferred",5,1)))),""))</f>
        <v/>
      </c>
      <c r="W93" s="58" t="str">
        <f>IF(OR(WBS!$F93="",WBS!$T93=""),"",IF(AND(18&gt;=WBS!$F93,18&lt;=WBS!$T93),IF(WBS!$L93="Done",3,IF(WBS!$L93="Doing",2,IF(WBS!$L93="Blocked",4,IF(WBS!$L93="Deferred",5,1)))),""))</f>
        <v/>
      </c>
      <c r="X93" s="58" t="str">
        <f>IF(OR(WBS!$F93="",WBS!$T93=""),"",IF(AND(19&gt;=WBS!$F93,19&lt;=WBS!$T93),IF(WBS!$L93="Done",3,IF(WBS!$L93="Doing",2,IF(WBS!$L93="Blocked",4,IF(WBS!$L93="Deferred",5,1)))),""))</f>
        <v/>
      </c>
      <c r="Y93" s="58" t="str">
        <f>IF(OR(WBS!$F93="",WBS!$T93=""),"",IF(AND(20&gt;=WBS!$F93,20&lt;=WBS!$T93),IF(WBS!$L93="Done",3,IF(WBS!$L93="Doing",2,IF(WBS!$L93="Blocked",4,IF(WBS!$L93="Deferred",5,1)))),""))</f>
        <v/>
      </c>
      <c r="Z93" s="58" t="str">
        <f>IF(OR(WBS!$F93="",WBS!$T93=""),"",IF(AND(21&gt;=WBS!$F93,21&lt;=WBS!$T93),IF(WBS!$L93="Done",3,IF(WBS!$L93="Doing",2,IF(WBS!$L93="Blocked",4,IF(WBS!$L93="Deferred",5,1)))),""))</f>
        <v/>
      </c>
    </row>
    <row r="94" spans="1:26" x14ac:dyDescent="0.3">
      <c r="A94" s="64" t="str">
        <f>WBS!$A94</f>
        <v>5.6.3</v>
      </c>
      <c r="B94" s="65" t="str">
        <f>WBS!$C94</f>
        <v xml:space="preserve">        Stop confirm with Drift offline queue and replay</v>
      </c>
      <c r="C94" s="66" t="str">
        <f>IF(WBS!$E94="","",WBS!$E94)</f>
        <v>MOB</v>
      </c>
      <c r="D94" s="67">
        <f>WBS!$J94</f>
        <v>2</v>
      </c>
      <c r="E94" s="68">
        <f>WBS!$M94</f>
        <v>0</v>
      </c>
      <c r="F94" s="58" t="str">
        <f>IF(OR(WBS!$F94="",WBS!$T94=""),"",IF(AND(1&gt;=WBS!$F94,1&lt;=WBS!$T94),IF(WBS!$L94="Done",3,IF(WBS!$L94="Doing",2,IF(WBS!$L94="Blocked",4,IF(WBS!$L94="Deferred",5,1)))),""))</f>
        <v/>
      </c>
      <c r="G94" s="58" t="str">
        <f>IF(OR(WBS!$F94="",WBS!$T94=""),"",IF(AND(2&gt;=WBS!$F94,2&lt;=WBS!$T94),IF(WBS!$L94="Done",3,IF(WBS!$L94="Doing",2,IF(WBS!$L94="Blocked",4,IF(WBS!$L94="Deferred",5,1)))),""))</f>
        <v/>
      </c>
      <c r="H94" s="58" t="str">
        <f>IF(OR(WBS!$F94="",WBS!$T94=""),"",IF(AND(3&gt;=WBS!$F94,3&lt;=WBS!$T94),IF(WBS!$L94="Done",3,IF(WBS!$L94="Doing",2,IF(WBS!$L94="Blocked",4,IF(WBS!$L94="Deferred",5,1)))),""))</f>
        <v/>
      </c>
      <c r="I94" s="58" t="str">
        <f>IF(OR(WBS!$F94="",WBS!$T94=""),"",IF(AND(4&gt;=WBS!$F94,4&lt;=WBS!$T94),IF(WBS!$L94="Done",3,IF(WBS!$L94="Doing",2,IF(WBS!$L94="Blocked",4,IF(WBS!$L94="Deferred",5,1)))),""))</f>
        <v/>
      </c>
      <c r="J94" s="58" t="str">
        <f>IF(OR(WBS!$F94="",WBS!$T94=""),"",IF(AND(5&gt;=WBS!$F94,5&lt;=WBS!$T94),IF(WBS!$L94="Done",3,IF(WBS!$L94="Doing",2,IF(WBS!$L94="Blocked",4,IF(WBS!$L94="Deferred",5,1)))),""))</f>
        <v/>
      </c>
      <c r="K94" s="58" t="str">
        <f>IF(OR(WBS!$F94="",WBS!$T94=""),"",IF(AND(6&gt;=WBS!$F94,6&lt;=WBS!$T94),IF(WBS!$L94="Done",3,IF(WBS!$L94="Doing",2,IF(WBS!$L94="Blocked",4,IF(WBS!$L94="Deferred",5,1)))),""))</f>
        <v/>
      </c>
      <c r="L94" s="58" t="str">
        <f>IF(OR(WBS!$F94="",WBS!$T94=""),"",IF(AND(7&gt;=WBS!$F94,7&lt;=WBS!$T94),IF(WBS!$L94="Done",3,IF(WBS!$L94="Doing",2,IF(WBS!$L94="Blocked",4,IF(WBS!$L94="Deferred",5,1)))),""))</f>
        <v/>
      </c>
      <c r="M94" s="58" t="str">
        <f>IF(OR(WBS!$F94="",WBS!$T94=""),"",IF(AND(8&gt;=WBS!$F94,8&lt;=WBS!$T94),IF(WBS!$L94="Done",3,IF(WBS!$L94="Doing",2,IF(WBS!$L94="Blocked",4,IF(WBS!$L94="Deferred",5,1)))),""))</f>
        <v/>
      </c>
      <c r="N94" s="58" t="str">
        <f>IF(OR(WBS!$F94="",WBS!$T94=""),"",IF(AND(9&gt;=WBS!$F94,9&lt;=WBS!$T94),IF(WBS!$L94="Done",3,IF(WBS!$L94="Doing",2,IF(WBS!$L94="Blocked",4,IF(WBS!$L94="Deferred",5,1)))),""))</f>
        <v/>
      </c>
      <c r="O94" s="58" t="str">
        <f>IF(OR(WBS!$F94="",WBS!$T94=""),"",IF(AND(10&gt;=WBS!$F94,10&lt;=WBS!$T94),IF(WBS!$L94="Done",3,IF(WBS!$L94="Doing",2,IF(WBS!$L94="Blocked",4,IF(WBS!$L94="Deferred",5,1)))),""))</f>
        <v/>
      </c>
      <c r="P94" s="58" t="str">
        <f>IF(OR(WBS!$F94="",WBS!$T94=""),"",IF(AND(11&gt;=WBS!$F94,11&lt;=WBS!$T94),IF(WBS!$L94="Done",3,IF(WBS!$L94="Doing",2,IF(WBS!$L94="Blocked",4,IF(WBS!$L94="Deferred",5,1)))),""))</f>
        <v/>
      </c>
      <c r="Q94" s="58" t="str">
        <f>IF(OR(WBS!$F94="",WBS!$T94=""),"",IF(AND(12&gt;=WBS!$F94,12&lt;=WBS!$T94),IF(WBS!$L94="Done",3,IF(WBS!$L94="Doing",2,IF(WBS!$L94="Blocked",4,IF(WBS!$L94="Deferred",5,1)))),""))</f>
        <v/>
      </c>
      <c r="R94" s="58">
        <f>IF(OR(WBS!$F94="",WBS!$T94=""),"",IF(AND(13&gt;=WBS!$F94,13&lt;=WBS!$T94),IF(WBS!$L94="Done",3,IF(WBS!$L94="Doing",2,IF(WBS!$L94="Blocked",4,IF(WBS!$L94="Deferred",5,1)))),""))</f>
        <v>1</v>
      </c>
      <c r="S94" s="58" t="str">
        <f>IF(OR(WBS!$F94="",WBS!$T94=""),"",IF(AND(14&gt;=WBS!$F94,14&lt;=WBS!$T94),IF(WBS!$L94="Done",3,IF(WBS!$L94="Doing",2,IF(WBS!$L94="Blocked",4,IF(WBS!$L94="Deferred",5,1)))),""))</f>
        <v/>
      </c>
      <c r="T94" s="58" t="str">
        <f>IF(OR(WBS!$F94="",WBS!$T94=""),"",IF(AND(15&gt;=WBS!$F94,15&lt;=WBS!$T94),IF(WBS!$L94="Done",3,IF(WBS!$L94="Doing",2,IF(WBS!$L94="Blocked",4,IF(WBS!$L94="Deferred",5,1)))),""))</f>
        <v/>
      </c>
      <c r="U94" s="58" t="str">
        <f>IF(OR(WBS!$F94="",WBS!$T94=""),"",IF(AND(16&gt;=WBS!$F94,16&lt;=WBS!$T94),IF(WBS!$L94="Done",3,IF(WBS!$L94="Doing",2,IF(WBS!$L94="Blocked",4,IF(WBS!$L94="Deferred",5,1)))),""))</f>
        <v/>
      </c>
      <c r="V94" s="58" t="str">
        <f>IF(OR(WBS!$F94="",WBS!$T94=""),"",IF(AND(17&gt;=WBS!$F94,17&lt;=WBS!$T94),IF(WBS!$L94="Done",3,IF(WBS!$L94="Doing",2,IF(WBS!$L94="Blocked",4,IF(WBS!$L94="Deferred",5,1)))),""))</f>
        <v/>
      </c>
      <c r="W94" s="58" t="str">
        <f>IF(OR(WBS!$F94="",WBS!$T94=""),"",IF(AND(18&gt;=WBS!$F94,18&lt;=WBS!$T94),IF(WBS!$L94="Done",3,IF(WBS!$L94="Doing",2,IF(WBS!$L94="Blocked",4,IF(WBS!$L94="Deferred",5,1)))),""))</f>
        <v/>
      </c>
      <c r="X94" s="58" t="str">
        <f>IF(OR(WBS!$F94="",WBS!$T94=""),"",IF(AND(19&gt;=WBS!$F94,19&lt;=WBS!$T94),IF(WBS!$L94="Done",3,IF(WBS!$L94="Doing",2,IF(WBS!$L94="Blocked",4,IF(WBS!$L94="Deferred",5,1)))),""))</f>
        <v/>
      </c>
      <c r="Y94" s="58" t="str">
        <f>IF(OR(WBS!$F94="",WBS!$T94=""),"",IF(AND(20&gt;=WBS!$F94,20&lt;=WBS!$T94),IF(WBS!$L94="Done",3,IF(WBS!$L94="Doing",2,IF(WBS!$L94="Blocked",4,IF(WBS!$L94="Deferred",5,1)))),""))</f>
        <v/>
      </c>
      <c r="Z94" s="58" t="str">
        <f>IF(OR(WBS!$F94="",WBS!$T94=""),"",IF(AND(21&gt;=WBS!$F94,21&lt;=WBS!$T94),IF(WBS!$L94="Done",3,IF(WBS!$L94="Doing",2,IF(WBS!$L94="Blocked",4,IF(WBS!$L94="Deferred",5,1)))),""))</f>
        <v/>
      </c>
    </row>
    <row r="95" spans="1:26" x14ac:dyDescent="0.3">
      <c r="A95" s="53" t="str">
        <f>WBS!$A95</f>
        <v>6</v>
      </c>
      <c r="B95" s="54" t="str">
        <f>WBS!$C95</f>
        <v>External Integration</v>
      </c>
      <c r="C95" s="55" t="str">
        <f>IF(WBS!$E95="","",WBS!$E95)</f>
        <v/>
      </c>
      <c r="D95" s="56">
        <f>WBS!$J95</f>
        <v>9.5</v>
      </c>
      <c r="E95" s="57">
        <f>WBS!$M95</f>
        <v>0</v>
      </c>
      <c r="F95" s="58" t="str">
        <f>IF(OR(WBS!$F95="",WBS!$T95=""),"",IF(AND(1&gt;=WBS!$F95,1&lt;=WBS!$T95),IF(WBS!$L95="Done",3,IF(WBS!$L95="Doing",2,IF(WBS!$L95="Blocked",4,IF(WBS!$L95="Deferred",5,1)))),""))</f>
        <v/>
      </c>
      <c r="G95" s="58" t="str">
        <f>IF(OR(WBS!$F95="",WBS!$T95=""),"",IF(AND(2&gt;=WBS!$F95,2&lt;=WBS!$T95),IF(WBS!$L95="Done",3,IF(WBS!$L95="Doing",2,IF(WBS!$L95="Blocked",4,IF(WBS!$L95="Deferred",5,1)))),""))</f>
        <v/>
      </c>
      <c r="H95" s="58" t="str">
        <f>IF(OR(WBS!$F95="",WBS!$T95=""),"",IF(AND(3&gt;=WBS!$F95,3&lt;=WBS!$T95),IF(WBS!$L95="Done",3,IF(WBS!$L95="Doing",2,IF(WBS!$L95="Blocked",4,IF(WBS!$L95="Deferred",5,1)))),""))</f>
        <v/>
      </c>
      <c r="I95" s="58" t="str">
        <f>IF(OR(WBS!$F95="",WBS!$T95=""),"",IF(AND(4&gt;=WBS!$F95,4&lt;=WBS!$T95),IF(WBS!$L95="Done",3,IF(WBS!$L95="Doing",2,IF(WBS!$L95="Blocked",4,IF(WBS!$L95="Deferred",5,1)))),""))</f>
        <v/>
      </c>
      <c r="J95" s="58" t="str">
        <f>IF(OR(WBS!$F95="",WBS!$T95=""),"",IF(AND(5&gt;=WBS!$F95,5&lt;=WBS!$T95),IF(WBS!$L95="Done",3,IF(WBS!$L95="Doing",2,IF(WBS!$L95="Blocked",4,IF(WBS!$L95="Deferred",5,1)))),""))</f>
        <v/>
      </c>
      <c r="K95" s="58" t="str">
        <f>IF(OR(WBS!$F95="",WBS!$T95=""),"",IF(AND(6&gt;=WBS!$F95,6&lt;=WBS!$T95),IF(WBS!$L95="Done",3,IF(WBS!$L95="Doing",2,IF(WBS!$L95="Blocked",4,IF(WBS!$L95="Deferred",5,1)))),""))</f>
        <v/>
      </c>
      <c r="L95" s="58" t="str">
        <f>IF(OR(WBS!$F95="",WBS!$T95=""),"",IF(AND(7&gt;=WBS!$F95,7&lt;=WBS!$T95),IF(WBS!$L95="Done",3,IF(WBS!$L95="Doing",2,IF(WBS!$L95="Blocked",4,IF(WBS!$L95="Deferred",5,1)))),""))</f>
        <v/>
      </c>
      <c r="M95" s="58" t="str">
        <f>IF(OR(WBS!$F95="",WBS!$T95=""),"",IF(AND(8&gt;=WBS!$F95,8&lt;=WBS!$T95),IF(WBS!$L95="Done",3,IF(WBS!$L95="Doing",2,IF(WBS!$L95="Blocked",4,IF(WBS!$L95="Deferred",5,1)))),""))</f>
        <v/>
      </c>
      <c r="N95" s="58" t="str">
        <f>IF(OR(WBS!$F95="",WBS!$T95=""),"",IF(AND(9&gt;=WBS!$F95,9&lt;=WBS!$T95),IF(WBS!$L95="Done",3,IF(WBS!$L95="Doing",2,IF(WBS!$L95="Blocked",4,IF(WBS!$L95="Deferred",5,1)))),""))</f>
        <v/>
      </c>
      <c r="O95" s="58" t="str">
        <f>IF(OR(WBS!$F95="",WBS!$T95=""),"",IF(AND(10&gt;=WBS!$F95,10&lt;=WBS!$T95),IF(WBS!$L95="Done",3,IF(WBS!$L95="Doing",2,IF(WBS!$L95="Blocked",4,IF(WBS!$L95="Deferred",5,1)))),""))</f>
        <v/>
      </c>
      <c r="P95" s="58" t="str">
        <f>IF(OR(WBS!$F95="",WBS!$T95=""),"",IF(AND(11&gt;=WBS!$F95,11&lt;=WBS!$T95),IF(WBS!$L95="Done",3,IF(WBS!$L95="Doing",2,IF(WBS!$L95="Blocked",4,IF(WBS!$L95="Deferred",5,1)))),""))</f>
        <v/>
      </c>
      <c r="Q95" s="58" t="str">
        <f>IF(OR(WBS!$F95="",WBS!$T95=""),"",IF(AND(12&gt;=WBS!$F95,12&lt;=WBS!$T95),IF(WBS!$L95="Done",3,IF(WBS!$L95="Doing",2,IF(WBS!$L95="Blocked",4,IF(WBS!$L95="Deferred",5,1)))),""))</f>
        <v/>
      </c>
      <c r="R95" s="58" t="str">
        <f>IF(OR(WBS!$F95="",WBS!$T95=""),"",IF(AND(13&gt;=WBS!$F95,13&lt;=WBS!$T95),IF(WBS!$L95="Done",3,IF(WBS!$L95="Doing",2,IF(WBS!$L95="Blocked",4,IF(WBS!$L95="Deferred",5,1)))),""))</f>
        <v/>
      </c>
      <c r="S95" s="58">
        <f>IF(OR(WBS!$F95="",WBS!$T95=""),"",IF(AND(14&gt;=WBS!$F95,14&lt;=WBS!$T95),IF(WBS!$L95="Done",3,IF(WBS!$L95="Doing",2,IF(WBS!$L95="Blocked",4,IF(WBS!$L95="Deferred",5,1)))),""))</f>
        <v>1</v>
      </c>
      <c r="T95" s="58" t="str">
        <f>IF(OR(WBS!$F95="",WBS!$T95=""),"",IF(AND(15&gt;=WBS!$F95,15&lt;=WBS!$T95),IF(WBS!$L95="Done",3,IF(WBS!$L95="Doing",2,IF(WBS!$L95="Blocked",4,IF(WBS!$L95="Deferred",5,1)))),""))</f>
        <v/>
      </c>
      <c r="U95" s="58" t="str">
        <f>IF(OR(WBS!$F95="",WBS!$T95=""),"",IF(AND(16&gt;=WBS!$F95,16&lt;=WBS!$T95),IF(WBS!$L95="Done",3,IF(WBS!$L95="Doing",2,IF(WBS!$L95="Blocked",4,IF(WBS!$L95="Deferred",5,1)))),""))</f>
        <v/>
      </c>
      <c r="V95" s="58" t="str">
        <f>IF(OR(WBS!$F95="",WBS!$T95=""),"",IF(AND(17&gt;=WBS!$F95,17&lt;=WBS!$T95),IF(WBS!$L95="Done",3,IF(WBS!$L95="Doing",2,IF(WBS!$L95="Blocked",4,IF(WBS!$L95="Deferred",5,1)))),""))</f>
        <v/>
      </c>
      <c r="W95" s="58" t="str">
        <f>IF(OR(WBS!$F95="",WBS!$T95=""),"",IF(AND(18&gt;=WBS!$F95,18&lt;=WBS!$T95),IF(WBS!$L95="Done",3,IF(WBS!$L95="Doing",2,IF(WBS!$L95="Blocked",4,IF(WBS!$L95="Deferred",5,1)))),""))</f>
        <v/>
      </c>
      <c r="X95" s="58" t="str">
        <f>IF(OR(WBS!$F95="",WBS!$T95=""),"",IF(AND(19&gt;=WBS!$F95,19&lt;=WBS!$T95),IF(WBS!$L95="Done",3,IF(WBS!$L95="Doing",2,IF(WBS!$L95="Blocked",4,IF(WBS!$L95="Deferred",5,1)))),""))</f>
        <v/>
      </c>
      <c r="Y95" s="58" t="str">
        <f>IF(OR(WBS!$F95="",WBS!$T95=""),"",IF(AND(20&gt;=WBS!$F95,20&lt;=WBS!$T95),IF(WBS!$L95="Done",3,IF(WBS!$L95="Doing",2,IF(WBS!$L95="Blocked",4,IF(WBS!$L95="Deferred",5,1)))),""))</f>
        <v/>
      </c>
      <c r="Z95" s="58" t="str">
        <f>IF(OR(WBS!$F95="",WBS!$T95=""),"",IF(AND(21&gt;=WBS!$F95,21&lt;=WBS!$T95),IF(WBS!$L95="Done",3,IF(WBS!$L95="Doing",2,IF(WBS!$L95="Blocked",4,IF(WBS!$L95="Deferred",5,1)))),""))</f>
        <v/>
      </c>
    </row>
    <row r="96" spans="1:26" x14ac:dyDescent="0.3">
      <c r="A96" s="59" t="str">
        <f>WBS!$A96</f>
        <v>6.1</v>
      </c>
      <c r="B96" s="60" t="str">
        <f>WBS!$C96</f>
        <v xml:space="preserve">    RailBite external platform</v>
      </c>
      <c r="C96" s="61" t="str">
        <f>IF(WBS!$E96="","",WBS!$E96)</f>
        <v/>
      </c>
      <c r="D96" s="62">
        <f>WBS!$J96</f>
        <v>2.5</v>
      </c>
      <c r="E96" s="63">
        <f>WBS!$M96</f>
        <v>0</v>
      </c>
      <c r="F96" s="58" t="str">
        <f>IF(OR(WBS!$F96="",WBS!$T96=""),"",IF(AND(1&gt;=WBS!$F96,1&lt;=WBS!$T96),IF(WBS!$L96="Done",3,IF(WBS!$L96="Doing",2,IF(WBS!$L96="Blocked",4,IF(WBS!$L96="Deferred",5,1)))),""))</f>
        <v/>
      </c>
      <c r="G96" s="58" t="str">
        <f>IF(OR(WBS!$F96="",WBS!$T96=""),"",IF(AND(2&gt;=WBS!$F96,2&lt;=WBS!$T96),IF(WBS!$L96="Done",3,IF(WBS!$L96="Doing",2,IF(WBS!$L96="Blocked",4,IF(WBS!$L96="Deferred",5,1)))),""))</f>
        <v/>
      </c>
      <c r="H96" s="58" t="str">
        <f>IF(OR(WBS!$F96="",WBS!$T96=""),"",IF(AND(3&gt;=WBS!$F96,3&lt;=WBS!$T96),IF(WBS!$L96="Done",3,IF(WBS!$L96="Doing",2,IF(WBS!$L96="Blocked",4,IF(WBS!$L96="Deferred",5,1)))),""))</f>
        <v/>
      </c>
      <c r="I96" s="58" t="str">
        <f>IF(OR(WBS!$F96="",WBS!$T96=""),"",IF(AND(4&gt;=WBS!$F96,4&lt;=WBS!$T96),IF(WBS!$L96="Done",3,IF(WBS!$L96="Doing",2,IF(WBS!$L96="Blocked",4,IF(WBS!$L96="Deferred",5,1)))),""))</f>
        <v/>
      </c>
      <c r="J96" s="58" t="str">
        <f>IF(OR(WBS!$F96="",WBS!$T96=""),"",IF(AND(5&gt;=WBS!$F96,5&lt;=WBS!$T96),IF(WBS!$L96="Done",3,IF(WBS!$L96="Doing",2,IF(WBS!$L96="Blocked",4,IF(WBS!$L96="Deferred",5,1)))),""))</f>
        <v/>
      </c>
      <c r="K96" s="58" t="str">
        <f>IF(OR(WBS!$F96="",WBS!$T96=""),"",IF(AND(6&gt;=WBS!$F96,6&lt;=WBS!$T96),IF(WBS!$L96="Done",3,IF(WBS!$L96="Doing",2,IF(WBS!$L96="Blocked",4,IF(WBS!$L96="Deferred",5,1)))),""))</f>
        <v/>
      </c>
      <c r="L96" s="58" t="str">
        <f>IF(OR(WBS!$F96="",WBS!$T96=""),"",IF(AND(7&gt;=WBS!$F96,7&lt;=WBS!$T96),IF(WBS!$L96="Done",3,IF(WBS!$L96="Doing",2,IF(WBS!$L96="Blocked",4,IF(WBS!$L96="Deferred",5,1)))),""))</f>
        <v/>
      </c>
      <c r="M96" s="58" t="str">
        <f>IF(OR(WBS!$F96="",WBS!$T96=""),"",IF(AND(8&gt;=WBS!$F96,8&lt;=WBS!$T96),IF(WBS!$L96="Done",3,IF(WBS!$L96="Doing",2,IF(WBS!$L96="Blocked",4,IF(WBS!$L96="Deferred",5,1)))),""))</f>
        <v/>
      </c>
      <c r="N96" s="58" t="str">
        <f>IF(OR(WBS!$F96="",WBS!$T96=""),"",IF(AND(9&gt;=WBS!$F96,9&lt;=WBS!$T96),IF(WBS!$L96="Done",3,IF(WBS!$L96="Doing",2,IF(WBS!$L96="Blocked",4,IF(WBS!$L96="Deferred",5,1)))),""))</f>
        <v/>
      </c>
      <c r="O96" s="58" t="str">
        <f>IF(OR(WBS!$F96="",WBS!$T96=""),"",IF(AND(10&gt;=WBS!$F96,10&lt;=WBS!$T96),IF(WBS!$L96="Done",3,IF(WBS!$L96="Doing",2,IF(WBS!$L96="Blocked",4,IF(WBS!$L96="Deferred",5,1)))),""))</f>
        <v/>
      </c>
      <c r="P96" s="58" t="str">
        <f>IF(OR(WBS!$F96="",WBS!$T96=""),"",IF(AND(11&gt;=WBS!$F96,11&lt;=WBS!$T96),IF(WBS!$L96="Done",3,IF(WBS!$L96="Doing",2,IF(WBS!$L96="Blocked",4,IF(WBS!$L96="Deferred",5,1)))),""))</f>
        <v/>
      </c>
      <c r="Q96" s="58" t="str">
        <f>IF(OR(WBS!$F96="",WBS!$T96=""),"",IF(AND(12&gt;=WBS!$F96,12&lt;=WBS!$T96),IF(WBS!$L96="Done",3,IF(WBS!$L96="Doing",2,IF(WBS!$L96="Blocked",4,IF(WBS!$L96="Deferred",5,1)))),""))</f>
        <v/>
      </c>
      <c r="R96" s="58" t="str">
        <f>IF(OR(WBS!$F96="",WBS!$T96=""),"",IF(AND(13&gt;=WBS!$F96,13&lt;=WBS!$T96),IF(WBS!$L96="Done",3,IF(WBS!$L96="Doing",2,IF(WBS!$L96="Blocked",4,IF(WBS!$L96="Deferred",5,1)))),""))</f>
        <v/>
      </c>
      <c r="S96" s="58">
        <f>IF(OR(WBS!$F96="",WBS!$T96=""),"",IF(AND(14&gt;=WBS!$F96,14&lt;=WBS!$T96),IF(WBS!$L96="Done",3,IF(WBS!$L96="Doing",2,IF(WBS!$L96="Blocked",4,IF(WBS!$L96="Deferred",5,1)))),""))</f>
        <v>1</v>
      </c>
      <c r="T96" s="58" t="str">
        <f>IF(OR(WBS!$F96="",WBS!$T96=""),"",IF(AND(15&gt;=WBS!$F96,15&lt;=WBS!$T96),IF(WBS!$L96="Done",3,IF(WBS!$L96="Doing",2,IF(WBS!$L96="Blocked",4,IF(WBS!$L96="Deferred",5,1)))),""))</f>
        <v/>
      </c>
      <c r="U96" s="58" t="str">
        <f>IF(OR(WBS!$F96="",WBS!$T96=""),"",IF(AND(16&gt;=WBS!$F96,16&lt;=WBS!$T96),IF(WBS!$L96="Done",3,IF(WBS!$L96="Doing",2,IF(WBS!$L96="Blocked",4,IF(WBS!$L96="Deferred",5,1)))),""))</f>
        <v/>
      </c>
      <c r="V96" s="58" t="str">
        <f>IF(OR(WBS!$F96="",WBS!$T96=""),"",IF(AND(17&gt;=WBS!$F96,17&lt;=WBS!$T96),IF(WBS!$L96="Done",3,IF(WBS!$L96="Doing",2,IF(WBS!$L96="Blocked",4,IF(WBS!$L96="Deferred",5,1)))),""))</f>
        <v/>
      </c>
      <c r="W96" s="58" t="str">
        <f>IF(OR(WBS!$F96="",WBS!$T96=""),"",IF(AND(18&gt;=WBS!$F96,18&lt;=WBS!$T96),IF(WBS!$L96="Done",3,IF(WBS!$L96="Doing",2,IF(WBS!$L96="Blocked",4,IF(WBS!$L96="Deferred",5,1)))),""))</f>
        <v/>
      </c>
      <c r="X96" s="58" t="str">
        <f>IF(OR(WBS!$F96="",WBS!$T96=""),"",IF(AND(19&gt;=WBS!$F96,19&lt;=WBS!$T96),IF(WBS!$L96="Done",3,IF(WBS!$L96="Doing",2,IF(WBS!$L96="Blocked",4,IF(WBS!$L96="Deferred",5,1)))),""))</f>
        <v/>
      </c>
      <c r="Y96" s="58" t="str">
        <f>IF(OR(WBS!$F96="",WBS!$T96=""),"",IF(AND(20&gt;=WBS!$F96,20&lt;=WBS!$T96),IF(WBS!$L96="Done",3,IF(WBS!$L96="Doing",2,IF(WBS!$L96="Blocked",4,IF(WBS!$L96="Deferred",5,1)))),""))</f>
        <v/>
      </c>
      <c r="Z96" s="58" t="str">
        <f>IF(OR(WBS!$F96="",WBS!$T96=""),"",IF(AND(21&gt;=WBS!$F96,21&lt;=WBS!$T96),IF(WBS!$L96="Done",3,IF(WBS!$L96="Doing",2,IF(WBS!$L96="Blocked",4,IF(WBS!$L96="Deferred",5,1)))),""))</f>
        <v/>
      </c>
    </row>
    <row r="97" spans="1:26" x14ac:dyDescent="0.3">
      <c r="A97" s="64" t="str">
        <f>WBS!$A97</f>
        <v>6.1.1</v>
      </c>
      <c r="B97" s="65" t="str">
        <f>WBS!$C97</f>
        <v xml:space="preserve">        Node app - menu, stock, station eligibility, order lifecycle</v>
      </c>
      <c r="C97" s="66" t="str">
        <f>IF(WBS!$E97="","",WBS!$E97)</f>
        <v>INT</v>
      </c>
      <c r="D97" s="67">
        <f>WBS!$J97</f>
        <v>2.5</v>
      </c>
      <c r="E97" s="68">
        <f>WBS!$M97</f>
        <v>0</v>
      </c>
      <c r="F97" s="58" t="str">
        <f>IF(OR(WBS!$F97="",WBS!$T97=""),"",IF(AND(1&gt;=WBS!$F97,1&lt;=WBS!$T97),IF(WBS!$L97="Done",3,IF(WBS!$L97="Doing",2,IF(WBS!$L97="Blocked",4,IF(WBS!$L97="Deferred",5,1)))),""))</f>
        <v/>
      </c>
      <c r="G97" s="58" t="str">
        <f>IF(OR(WBS!$F97="",WBS!$T97=""),"",IF(AND(2&gt;=WBS!$F97,2&lt;=WBS!$T97),IF(WBS!$L97="Done",3,IF(WBS!$L97="Doing",2,IF(WBS!$L97="Blocked",4,IF(WBS!$L97="Deferred",5,1)))),""))</f>
        <v/>
      </c>
      <c r="H97" s="58" t="str">
        <f>IF(OR(WBS!$F97="",WBS!$T97=""),"",IF(AND(3&gt;=WBS!$F97,3&lt;=WBS!$T97),IF(WBS!$L97="Done",3,IF(WBS!$L97="Doing",2,IF(WBS!$L97="Blocked",4,IF(WBS!$L97="Deferred",5,1)))),""))</f>
        <v/>
      </c>
      <c r="I97" s="58" t="str">
        <f>IF(OR(WBS!$F97="",WBS!$T97=""),"",IF(AND(4&gt;=WBS!$F97,4&lt;=WBS!$T97),IF(WBS!$L97="Done",3,IF(WBS!$L97="Doing",2,IF(WBS!$L97="Blocked",4,IF(WBS!$L97="Deferred",5,1)))),""))</f>
        <v/>
      </c>
      <c r="J97" s="58" t="str">
        <f>IF(OR(WBS!$F97="",WBS!$T97=""),"",IF(AND(5&gt;=WBS!$F97,5&lt;=WBS!$T97),IF(WBS!$L97="Done",3,IF(WBS!$L97="Doing",2,IF(WBS!$L97="Blocked",4,IF(WBS!$L97="Deferred",5,1)))),""))</f>
        <v/>
      </c>
      <c r="K97" s="58" t="str">
        <f>IF(OR(WBS!$F97="",WBS!$T97=""),"",IF(AND(6&gt;=WBS!$F97,6&lt;=WBS!$T97),IF(WBS!$L97="Done",3,IF(WBS!$L97="Doing",2,IF(WBS!$L97="Blocked",4,IF(WBS!$L97="Deferred",5,1)))),""))</f>
        <v/>
      </c>
      <c r="L97" s="58" t="str">
        <f>IF(OR(WBS!$F97="",WBS!$T97=""),"",IF(AND(7&gt;=WBS!$F97,7&lt;=WBS!$T97),IF(WBS!$L97="Done",3,IF(WBS!$L97="Doing",2,IF(WBS!$L97="Blocked",4,IF(WBS!$L97="Deferred",5,1)))),""))</f>
        <v/>
      </c>
      <c r="M97" s="58" t="str">
        <f>IF(OR(WBS!$F97="",WBS!$T97=""),"",IF(AND(8&gt;=WBS!$F97,8&lt;=WBS!$T97),IF(WBS!$L97="Done",3,IF(WBS!$L97="Doing",2,IF(WBS!$L97="Blocked",4,IF(WBS!$L97="Deferred",5,1)))),""))</f>
        <v/>
      </c>
      <c r="N97" s="58" t="str">
        <f>IF(OR(WBS!$F97="",WBS!$T97=""),"",IF(AND(9&gt;=WBS!$F97,9&lt;=WBS!$T97),IF(WBS!$L97="Done",3,IF(WBS!$L97="Doing",2,IF(WBS!$L97="Blocked",4,IF(WBS!$L97="Deferred",5,1)))),""))</f>
        <v/>
      </c>
      <c r="O97" s="58" t="str">
        <f>IF(OR(WBS!$F97="",WBS!$T97=""),"",IF(AND(10&gt;=WBS!$F97,10&lt;=WBS!$T97),IF(WBS!$L97="Done",3,IF(WBS!$L97="Doing",2,IF(WBS!$L97="Blocked",4,IF(WBS!$L97="Deferred",5,1)))),""))</f>
        <v/>
      </c>
      <c r="P97" s="58" t="str">
        <f>IF(OR(WBS!$F97="",WBS!$T97=""),"",IF(AND(11&gt;=WBS!$F97,11&lt;=WBS!$T97),IF(WBS!$L97="Done",3,IF(WBS!$L97="Doing",2,IF(WBS!$L97="Blocked",4,IF(WBS!$L97="Deferred",5,1)))),""))</f>
        <v/>
      </c>
      <c r="Q97" s="58" t="str">
        <f>IF(OR(WBS!$F97="",WBS!$T97=""),"",IF(AND(12&gt;=WBS!$F97,12&lt;=WBS!$T97),IF(WBS!$L97="Done",3,IF(WBS!$L97="Doing",2,IF(WBS!$L97="Blocked",4,IF(WBS!$L97="Deferred",5,1)))),""))</f>
        <v/>
      </c>
      <c r="R97" s="58" t="str">
        <f>IF(OR(WBS!$F97="",WBS!$T97=""),"",IF(AND(13&gt;=WBS!$F97,13&lt;=WBS!$T97),IF(WBS!$L97="Done",3,IF(WBS!$L97="Doing",2,IF(WBS!$L97="Blocked",4,IF(WBS!$L97="Deferred",5,1)))),""))</f>
        <v/>
      </c>
      <c r="S97" s="58">
        <f>IF(OR(WBS!$F97="",WBS!$T97=""),"",IF(AND(14&gt;=WBS!$F97,14&lt;=WBS!$T97),IF(WBS!$L97="Done",3,IF(WBS!$L97="Doing",2,IF(WBS!$L97="Blocked",4,IF(WBS!$L97="Deferred",5,1)))),""))</f>
        <v>1</v>
      </c>
      <c r="T97" s="58" t="str">
        <f>IF(OR(WBS!$F97="",WBS!$T97=""),"",IF(AND(15&gt;=WBS!$F97,15&lt;=WBS!$T97),IF(WBS!$L97="Done",3,IF(WBS!$L97="Doing",2,IF(WBS!$L97="Blocked",4,IF(WBS!$L97="Deferred",5,1)))),""))</f>
        <v/>
      </c>
      <c r="U97" s="58" t="str">
        <f>IF(OR(WBS!$F97="",WBS!$T97=""),"",IF(AND(16&gt;=WBS!$F97,16&lt;=WBS!$T97),IF(WBS!$L97="Done",3,IF(WBS!$L97="Doing",2,IF(WBS!$L97="Blocked",4,IF(WBS!$L97="Deferred",5,1)))),""))</f>
        <v/>
      </c>
      <c r="V97" s="58" t="str">
        <f>IF(OR(WBS!$F97="",WBS!$T97=""),"",IF(AND(17&gt;=WBS!$F97,17&lt;=WBS!$T97),IF(WBS!$L97="Done",3,IF(WBS!$L97="Doing",2,IF(WBS!$L97="Blocked",4,IF(WBS!$L97="Deferred",5,1)))),""))</f>
        <v/>
      </c>
      <c r="W97" s="58" t="str">
        <f>IF(OR(WBS!$F97="",WBS!$T97=""),"",IF(AND(18&gt;=WBS!$F97,18&lt;=WBS!$T97),IF(WBS!$L97="Done",3,IF(WBS!$L97="Doing",2,IF(WBS!$L97="Blocked",4,IF(WBS!$L97="Deferred",5,1)))),""))</f>
        <v/>
      </c>
      <c r="X97" s="58" t="str">
        <f>IF(OR(WBS!$F97="",WBS!$T97=""),"",IF(AND(19&gt;=WBS!$F97,19&lt;=WBS!$T97),IF(WBS!$L97="Done",3,IF(WBS!$L97="Doing",2,IF(WBS!$L97="Blocked",4,IF(WBS!$L97="Deferred",5,1)))),""))</f>
        <v/>
      </c>
      <c r="Y97" s="58" t="str">
        <f>IF(OR(WBS!$F97="",WBS!$T97=""),"",IF(AND(20&gt;=WBS!$F97,20&lt;=WBS!$T97),IF(WBS!$L97="Done",3,IF(WBS!$L97="Doing",2,IF(WBS!$L97="Blocked",4,IF(WBS!$L97="Deferred",5,1)))),""))</f>
        <v/>
      </c>
      <c r="Z97" s="58" t="str">
        <f>IF(OR(WBS!$F97="",WBS!$T97=""),"",IF(AND(21&gt;=WBS!$F97,21&lt;=WBS!$T97),IF(WBS!$L97="Done",3,IF(WBS!$L97="Doing",2,IF(WBS!$L97="Blocked",4,IF(WBS!$L97="Deferred",5,1)))),""))</f>
        <v/>
      </c>
    </row>
    <row r="98" spans="1:26" x14ac:dyDescent="0.3">
      <c r="A98" s="59" t="str">
        <f>WBS!$A98</f>
        <v>6.2</v>
      </c>
      <c r="B98" s="60" t="str">
        <f>WBS!$C98</f>
        <v xml:space="preserve">    Integration contract</v>
      </c>
      <c r="C98" s="61" t="str">
        <f>IF(WBS!$E98="","",WBS!$E98)</f>
        <v/>
      </c>
      <c r="D98" s="62">
        <f>WBS!$J98</f>
        <v>5</v>
      </c>
      <c r="E98" s="63">
        <f>WBS!$M98</f>
        <v>0</v>
      </c>
      <c r="F98" s="58" t="str">
        <f>IF(OR(WBS!$F98="",WBS!$T98=""),"",IF(AND(1&gt;=WBS!$F98,1&lt;=WBS!$T98),IF(WBS!$L98="Done",3,IF(WBS!$L98="Doing",2,IF(WBS!$L98="Blocked",4,IF(WBS!$L98="Deferred",5,1)))),""))</f>
        <v/>
      </c>
      <c r="G98" s="58" t="str">
        <f>IF(OR(WBS!$F98="",WBS!$T98=""),"",IF(AND(2&gt;=WBS!$F98,2&lt;=WBS!$T98),IF(WBS!$L98="Done",3,IF(WBS!$L98="Doing",2,IF(WBS!$L98="Blocked",4,IF(WBS!$L98="Deferred",5,1)))),""))</f>
        <v/>
      </c>
      <c r="H98" s="58" t="str">
        <f>IF(OR(WBS!$F98="",WBS!$T98=""),"",IF(AND(3&gt;=WBS!$F98,3&lt;=WBS!$T98),IF(WBS!$L98="Done",3,IF(WBS!$L98="Doing",2,IF(WBS!$L98="Blocked",4,IF(WBS!$L98="Deferred",5,1)))),""))</f>
        <v/>
      </c>
      <c r="I98" s="58" t="str">
        <f>IF(OR(WBS!$F98="",WBS!$T98=""),"",IF(AND(4&gt;=WBS!$F98,4&lt;=WBS!$T98),IF(WBS!$L98="Done",3,IF(WBS!$L98="Doing",2,IF(WBS!$L98="Blocked",4,IF(WBS!$L98="Deferred",5,1)))),""))</f>
        <v/>
      </c>
      <c r="J98" s="58" t="str">
        <f>IF(OR(WBS!$F98="",WBS!$T98=""),"",IF(AND(5&gt;=WBS!$F98,5&lt;=WBS!$T98),IF(WBS!$L98="Done",3,IF(WBS!$L98="Doing",2,IF(WBS!$L98="Blocked",4,IF(WBS!$L98="Deferred",5,1)))),""))</f>
        <v/>
      </c>
      <c r="K98" s="58" t="str">
        <f>IF(OR(WBS!$F98="",WBS!$T98=""),"",IF(AND(6&gt;=WBS!$F98,6&lt;=WBS!$T98),IF(WBS!$L98="Done",3,IF(WBS!$L98="Doing",2,IF(WBS!$L98="Blocked",4,IF(WBS!$L98="Deferred",5,1)))),""))</f>
        <v/>
      </c>
      <c r="L98" s="58" t="str">
        <f>IF(OR(WBS!$F98="",WBS!$T98=""),"",IF(AND(7&gt;=WBS!$F98,7&lt;=WBS!$T98),IF(WBS!$L98="Done",3,IF(WBS!$L98="Doing",2,IF(WBS!$L98="Blocked",4,IF(WBS!$L98="Deferred",5,1)))),""))</f>
        <v/>
      </c>
      <c r="M98" s="58" t="str">
        <f>IF(OR(WBS!$F98="",WBS!$T98=""),"",IF(AND(8&gt;=WBS!$F98,8&lt;=WBS!$T98),IF(WBS!$L98="Done",3,IF(WBS!$L98="Doing",2,IF(WBS!$L98="Blocked",4,IF(WBS!$L98="Deferred",5,1)))),""))</f>
        <v/>
      </c>
      <c r="N98" s="58" t="str">
        <f>IF(OR(WBS!$F98="",WBS!$T98=""),"",IF(AND(9&gt;=WBS!$F98,9&lt;=WBS!$T98),IF(WBS!$L98="Done",3,IF(WBS!$L98="Doing",2,IF(WBS!$L98="Blocked",4,IF(WBS!$L98="Deferred",5,1)))),""))</f>
        <v/>
      </c>
      <c r="O98" s="58" t="str">
        <f>IF(OR(WBS!$F98="",WBS!$T98=""),"",IF(AND(10&gt;=WBS!$F98,10&lt;=WBS!$T98),IF(WBS!$L98="Done",3,IF(WBS!$L98="Doing",2,IF(WBS!$L98="Blocked",4,IF(WBS!$L98="Deferred",5,1)))),""))</f>
        <v/>
      </c>
      <c r="P98" s="58" t="str">
        <f>IF(OR(WBS!$F98="",WBS!$T98=""),"",IF(AND(11&gt;=WBS!$F98,11&lt;=WBS!$T98),IF(WBS!$L98="Done",3,IF(WBS!$L98="Doing",2,IF(WBS!$L98="Blocked",4,IF(WBS!$L98="Deferred",5,1)))),""))</f>
        <v/>
      </c>
      <c r="Q98" s="58" t="str">
        <f>IF(OR(WBS!$F98="",WBS!$T98=""),"",IF(AND(12&gt;=WBS!$F98,12&lt;=WBS!$T98),IF(WBS!$L98="Done",3,IF(WBS!$L98="Doing",2,IF(WBS!$L98="Blocked",4,IF(WBS!$L98="Deferred",5,1)))),""))</f>
        <v/>
      </c>
      <c r="R98" s="58" t="str">
        <f>IF(OR(WBS!$F98="",WBS!$T98=""),"",IF(AND(13&gt;=WBS!$F98,13&lt;=WBS!$T98),IF(WBS!$L98="Done",3,IF(WBS!$L98="Doing",2,IF(WBS!$L98="Blocked",4,IF(WBS!$L98="Deferred",5,1)))),""))</f>
        <v/>
      </c>
      <c r="S98" s="58">
        <f>IF(OR(WBS!$F98="",WBS!$T98=""),"",IF(AND(14&gt;=WBS!$F98,14&lt;=WBS!$T98),IF(WBS!$L98="Done",3,IF(WBS!$L98="Doing",2,IF(WBS!$L98="Blocked",4,IF(WBS!$L98="Deferred",5,1)))),""))</f>
        <v>1</v>
      </c>
      <c r="T98" s="58" t="str">
        <f>IF(OR(WBS!$F98="",WBS!$T98=""),"",IF(AND(15&gt;=WBS!$F98,15&lt;=WBS!$T98),IF(WBS!$L98="Done",3,IF(WBS!$L98="Doing",2,IF(WBS!$L98="Blocked",4,IF(WBS!$L98="Deferred",5,1)))),""))</f>
        <v/>
      </c>
      <c r="U98" s="58" t="str">
        <f>IF(OR(WBS!$F98="",WBS!$T98=""),"",IF(AND(16&gt;=WBS!$F98,16&lt;=WBS!$T98),IF(WBS!$L98="Done",3,IF(WBS!$L98="Doing",2,IF(WBS!$L98="Blocked",4,IF(WBS!$L98="Deferred",5,1)))),""))</f>
        <v/>
      </c>
      <c r="V98" s="58" t="str">
        <f>IF(OR(WBS!$F98="",WBS!$T98=""),"",IF(AND(17&gt;=WBS!$F98,17&lt;=WBS!$T98),IF(WBS!$L98="Done",3,IF(WBS!$L98="Doing",2,IF(WBS!$L98="Blocked",4,IF(WBS!$L98="Deferred",5,1)))),""))</f>
        <v/>
      </c>
      <c r="W98" s="58" t="str">
        <f>IF(OR(WBS!$F98="",WBS!$T98=""),"",IF(AND(18&gt;=WBS!$F98,18&lt;=WBS!$T98),IF(WBS!$L98="Done",3,IF(WBS!$L98="Doing",2,IF(WBS!$L98="Blocked",4,IF(WBS!$L98="Deferred",5,1)))),""))</f>
        <v/>
      </c>
      <c r="X98" s="58" t="str">
        <f>IF(OR(WBS!$F98="",WBS!$T98=""),"",IF(AND(19&gt;=WBS!$F98,19&lt;=WBS!$T98),IF(WBS!$L98="Done",3,IF(WBS!$L98="Doing",2,IF(WBS!$L98="Blocked",4,IF(WBS!$L98="Deferred",5,1)))),""))</f>
        <v/>
      </c>
      <c r="Y98" s="58" t="str">
        <f>IF(OR(WBS!$F98="",WBS!$T98=""),"",IF(AND(20&gt;=WBS!$F98,20&lt;=WBS!$T98),IF(WBS!$L98="Done",3,IF(WBS!$L98="Doing",2,IF(WBS!$L98="Blocked",4,IF(WBS!$L98="Deferred",5,1)))),""))</f>
        <v/>
      </c>
      <c r="Z98" s="58" t="str">
        <f>IF(OR(WBS!$F98="",WBS!$T98=""),"",IF(AND(21&gt;=WBS!$F98,21&lt;=WBS!$T98),IF(WBS!$L98="Done",3,IF(WBS!$L98="Doing",2,IF(WBS!$L98="Blocked",4,IF(WBS!$L98="Deferred",5,1)))),""))</f>
        <v/>
      </c>
    </row>
    <row r="99" spans="1:26" x14ac:dyDescent="0.3">
      <c r="A99" s="64" t="str">
        <f>WBS!$A99</f>
        <v>6.2.1</v>
      </c>
      <c r="B99" s="65" t="str">
        <f>WBS!$C99</f>
        <v xml:space="preserve">        Outbound reference and ETA feed with API key auth</v>
      </c>
      <c r="C99" s="66" t="str">
        <f>IF(WBS!$E99="","",WBS!$E99)</f>
        <v>INT</v>
      </c>
      <c r="D99" s="67">
        <f>WBS!$J99</f>
        <v>1.5</v>
      </c>
      <c r="E99" s="68">
        <f>WBS!$M99</f>
        <v>0</v>
      </c>
      <c r="F99" s="58" t="str">
        <f>IF(OR(WBS!$F99="",WBS!$T99=""),"",IF(AND(1&gt;=WBS!$F99,1&lt;=WBS!$T99),IF(WBS!$L99="Done",3,IF(WBS!$L99="Doing",2,IF(WBS!$L99="Blocked",4,IF(WBS!$L99="Deferred",5,1)))),""))</f>
        <v/>
      </c>
      <c r="G99" s="58" t="str">
        <f>IF(OR(WBS!$F99="",WBS!$T99=""),"",IF(AND(2&gt;=WBS!$F99,2&lt;=WBS!$T99),IF(WBS!$L99="Done",3,IF(WBS!$L99="Doing",2,IF(WBS!$L99="Blocked",4,IF(WBS!$L99="Deferred",5,1)))),""))</f>
        <v/>
      </c>
      <c r="H99" s="58" t="str">
        <f>IF(OR(WBS!$F99="",WBS!$T99=""),"",IF(AND(3&gt;=WBS!$F99,3&lt;=WBS!$T99),IF(WBS!$L99="Done",3,IF(WBS!$L99="Doing",2,IF(WBS!$L99="Blocked",4,IF(WBS!$L99="Deferred",5,1)))),""))</f>
        <v/>
      </c>
      <c r="I99" s="58" t="str">
        <f>IF(OR(WBS!$F99="",WBS!$T99=""),"",IF(AND(4&gt;=WBS!$F99,4&lt;=WBS!$T99),IF(WBS!$L99="Done",3,IF(WBS!$L99="Doing",2,IF(WBS!$L99="Blocked",4,IF(WBS!$L99="Deferred",5,1)))),""))</f>
        <v/>
      </c>
      <c r="J99" s="58" t="str">
        <f>IF(OR(WBS!$F99="",WBS!$T99=""),"",IF(AND(5&gt;=WBS!$F99,5&lt;=WBS!$T99),IF(WBS!$L99="Done",3,IF(WBS!$L99="Doing",2,IF(WBS!$L99="Blocked",4,IF(WBS!$L99="Deferred",5,1)))),""))</f>
        <v/>
      </c>
      <c r="K99" s="58" t="str">
        <f>IF(OR(WBS!$F99="",WBS!$T99=""),"",IF(AND(6&gt;=WBS!$F99,6&lt;=WBS!$T99),IF(WBS!$L99="Done",3,IF(WBS!$L99="Doing",2,IF(WBS!$L99="Blocked",4,IF(WBS!$L99="Deferred",5,1)))),""))</f>
        <v/>
      </c>
      <c r="L99" s="58" t="str">
        <f>IF(OR(WBS!$F99="",WBS!$T99=""),"",IF(AND(7&gt;=WBS!$F99,7&lt;=WBS!$T99),IF(WBS!$L99="Done",3,IF(WBS!$L99="Doing",2,IF(WBS!$L99="Blocked",4,IF(WBS!$L99="Deferred",5,1)))),""))</f>
        <v/>
      </c>
      <c r="M99" s="58" t="str">
        <f>IF(OR(WBS!$F99="",WBS!$T99=""),"",IF(AND(8&gt;=WBS!$F99,8&lt;=WBS!$T99),IF(WBS!$L99="Done",3,IF(WBS!$L99="Doing",2,IF(WBS!$L99="Blocked",4,IF(WBS!$L99="Deferred",5,1)))),""))</f>
        <v/>
      </c>
      <c r="N99" s="58" t="str">
        <f>IF(OR(WBS!$F99="",WBS!$T99=""),"",IF(AND(9&gt;=WBS!$F99,9&lt;=WBS!$T99),IF(WBS!$L99="Done",3,IF(WBS!$L99="Doing",2,IF(WBS!$L99="Blocked",4,IF(WBS!$L99="Deferred",5,1)))),""))</f>
        <v/>
      </c>
      <c r="O99" s="58" t="str">
        <f>IF(OR(WBS!$F99="",WBS!$T99=""),"",IF(AND(10&gt;=WBS!$F99,10&lt;=WBS!$T99),IF(WBS!$L99="Done",3,IF(WBS!$L99="Doing",2,IF(WBS!$L99="Blocked",4,IF(WBS!$L99="Deferred",5,1)))),""))</f>
        <v/>
      </c>
      <c r="P99" s="58" t="str">
        <f>IF(OR(WBS!$F99="",WBS!$T99=""),"",IF(AND(11&gt;=WBS!$F99,11&lt;=WBS!$T99),IF(WBS!$L99="Done",3,IF(WBS!$L99="Doing",2,IF(WBS!$L99="Blocked",4,IF(WBS!$L99="Deferred",5,1)))),""))</f>
        <v/>
      </c>
      <c r="Q99" s="58" t="str">
        <f>IF(OR(WBS!$F99="",WBS!$T99=""),"",IF(AND(12&gt;=WBS!$F99,12&lt;=WBS!$T99),IF(WBS!$L99="Done",3,IF(WBS!$L99="Doing",2,IF(WBS!$L99="Blocked",4,IF(WBS!$L99="Deferred",5,1)))),""))</f>
        <v/>
      </c>
      <c r="R99" s="58" t="str">
        <f>IF(OR(WBS!$F99="",WBS!$T99=""),"",IF(AND(13&gt;=WBS!$F99,13&lt;=WBS!$T99),IF(WBS!$L99="Done",3,IF(WBS!$L99="Doing",2,IF(WBS!$L99="Blocked",4,IF(WBS!$L99="Deferred",5,1)))),""))</f>
        <v/>
      </c>
      <c r="S99" s="58">
        <f>IF(OR(WBS!$F99="",WBS!$T99=""),"",IF(AND(14&gt;=WBS!$F99,14&lt;=WBS!$T99),IF(WBS!$L99="Done",3,IF(WBS!$L99="Doing",2,IF(WBS!$L99="Blocked",4,IF(WBS!$L99="Deferred",5,1)))),""))</f>
        <v>1</v>
      </c>
      <c r="T99" s="58" t="str">
        <f>IF(OR(WBS!$F99="",WBS!$T99=""),"",IF(AND(15&gt;=WBS!$F99,15&lt;=WBS!$T99),IF(WBS!$L99="Done",3,IF(WBS!$L99="Doing",2,IF(WBS!$L99="Blocked",4,IF(WBS!$L99="Deferred",5,1)))),""))</f>
        <v/>
      </c>
      <c r="U99" s="58" t="str">
        <f>IF(OR(WBS!$F99="",WBS!$T99=""),"",IF(AND(16&gt;=WBS!$F99,16&lt;=WBS!$T99),IF(WBS!$L99="Done",3,IF(WBS!$L99="Doing",2,IF(WBS!$L99="Blocked",4,IF(WBS!$L99="Deferred",5,1)))),""))</f>
        <v/>
      </c>
      <c r="V99" s="58" t="str">
        <f>IF(OR(WBS!$F99="",WBS!$T99=""),"",IF(AND(17&gt;=WBS!$F99,17&lt;=WBS!$T99),IF(WBS!$L99="Done",3,IF(WBS!$L99="Doing",2,IF(WBS!$L99="Blocked",4,IF(WBS!$L99="Deferred",5,1)))),""))</f>
        <v/>
      </c>
      <c r="W99" s="58" t="str">
        <f>IF(OR(WBS!$F99="",WBS!$T99=""),"",IF(AND(18&gt;=WBS!$F99,18&lt;=WBS!$T99),IF(WBS!$L99="Done",3,IF(WBS!$L99="Doing",2,IF(WBS!$L99="Blocked",4,IF(WBS!$L99="Deferred",5,1)))),""))</f>
        <v/>
      </c>
      <c r="X99" s="58" t="str">
        <f>IF(OR(WBS!$F99="",WBS!$T99=""),"",IF(AND(19&gt;=WBS!$F99,19&lt;=WBS!$T99),IF(WBS!$L99="Done",3,IF(WBS!$L99="Doing",2,IF(WBS!$L99="Blocked",4,IF(WBS!$L99="Deferred",5,1)))),""))</f>
        <v/>
      </c>
      <c r="Y99" s="58" t="str">
        <f>IF(OR(WBS!$F99="",WBS!$T99=""),"",IF(AND(20&gt;=WBS!$F99,20&lt;=WBS!$T99),IF(WBS!$L99="Done",3,IF(WBS!$L99="Doing",2,IF(WBS!$L99="Blocked",4,IF(WBS!$L99="Deferred",5,1)))),""))</f>
        <v/>
      </c>
      <c r="Z99" s="58" t="str">
        <f>IF(OR(WBS!$F99="",WBS!$T99=""),"",IF(AND(21&gt;=WBS!$F99,21&lt;=WBS!$T99),IF(WBS!$L99="Done",3,IF(WBS!$L99="Doing",2,IF(WBS!$L99="Blocked",4,IF(WBS!$L99="Deferred",5,1)))),""))</f>
        <v/>
      </c>
    </row>
    <row r="100" spans="1:26" ht="26.4" x14ac:dyDescent="0.3">
      <c r="A100" s="64" t="str">
        <f>WBS!$A100</f>
        <v>6.2.2</v>
      </c>
      <c r="B100" s="65" t="str">
        <f>WBS!$C100</f>
        <v xml:space="preserve">        Inbound HMAC signed webhooks with replay window and idempotency</v>
      </c>
      <c r="C100" s="66" t="str">
        <f>IF(WBS!$E100="","",WBS!$E100)</f>
        <v>INT</v>
      </c>
      <c r="D100" s="67">
        <f>WBS!$J100</f>
        <v>2</v>
      </c>
      <c r="E100" s="68">
        <f>WBS!$M100</f>
        <v>0</v>
      </c>
      <c r="F100" s="58" t="str">
        <f>IF(OR(WBS!$F100="",WBS!$T100=""),"",IF(AND(1&gt;=WBS!$F100,1&lt;=WBS!$T100),IF(WBS!$L100="Done",3,IF(WBS!$L100="Doing",2,IF(WBS!$L100="Blocked",4,IF(WBS!$L100="Deferred",5,1)))),""))</f>
        <v/>
      </c>
      <c r="G100" s="58" t="str">
        <f>IF(OR(WBS!$F100="",WBS!$T100=""),"",IF(AND(2&gt;=WBS!$F100,2&lt;=WBS!$T100),IF(WBS!$L100="Done",3,IF(WBS!$L100="Doing",2,IF(WBS!$L100="Blocked",4,IF(WBS!$L100="Deferred",5,1)))),""))</f>
        <v/>
      </c>
      <c r="H100" s="58" t="str">
        <f>IF(OR(WBS!$F100="",WBS!$T100=""),"",IF(AND(3&gt;=WBS!$F100,3&lt;=WBS!$T100),IF(WBS!$L100="Done",3,IF(WBS!$L100="Doing",2,IF(WBS!$L100="Blocked",4,IF(WBS!$L100="Deferred",5,1)))),""))</f>
        <v/>
      </c>
      <c r="I100" s="58" t="str">
        <f>IF(OR(WBS!$F100="",WBS!$T100=""),"",IF(AND(4&gt;=WBS!$F100,4&lt;=WBS!$T100),IF(WBS!$L100="Done",3,IF(WBS!$L100="Doing",2,IF(WBS!$L100="Blocked",4,IF(WBS!$L100="Deferred",5,1)))),""))</f>
        <v/>
      </c>
      <c r="J100" s="58" t="str">
        <f>IF(OR(WBS!$F100="",WBS!$T100=""),"",IF(AND(5&gt;=WBS!$F100,5&lt;=WBS!$T100),IF(WBS!$L100="Done",3,IF(WBS!$L100="Doing",2,IF(WBS!$L100="Blocked",4,IF(WBS!$L100="Deferred",5,1)))),""))</f>
        <v/>
      </c>
      <c r="K100" s="58" t="str">
        <f>IF(OR(WBS!$F100="",WBS!$T100=""),"",IF(AND(6&gt;=WBS!$F100,6&lt;=WBS!$T100),IF(WBS!$L100="Done",3,IF(WBS!$L100="Doing",2,IF(WBS!$L100="Blocked",4,IF(WBS!$L100="Deferred",5,1)))),""))</f>
        <v/>
      </c>
      <c r="L100" s="58" t="str">
        <f>IF(OR(WBS!$F100="",WBS!$T100=""),"",IF(AND(7&gt;=WBS!$F100,7&lt;=WBS!$T100),IF(WBS!$L100="Done",3,IF(WBS!$L100="Doing",2,IF(WBS!$L100="Blocked",4,IF(WBS!$L100="Deferred",5,1)))),""))</f>
        <v/>
      </c>
      <c r="M100" s="58" t="str">
        <f>IF(OR(WBS!$F100="",WBS!$T100=""),"",IF(AND(8&gt;=WBS!$F100,8&lt;=WBS!$T100),IF(WBS!$L100="Done",3,IF(WBS!$L100="Doing",2,IF(WBS!$L100="Blocked",4,IF(WBS!$L100="Deferred",5,1)))),""))</f>
        <v/>
      </c>
      <c r="N100" s="58" t="str">
        <f>IF(OR(WBS!$F100="",WBS!$T100=""),"",IF(AND(9&gt;=WBS!$F100,9&lt;=WBS!$T100),IF(WBS!$L100="Done",3,IF(WBS!$L100="Doing",2,IF(WBS!$L100="Blocked",4,IF(WBS!$L100="Deferred",5,1)))),""))</f>
        <v/>
      </c>
      <c r="O100" s="58" t="str">
        <f>IF(OR(WBS!$F100="",WBS!$T100=""),"",IF(AND(10&gt;=WBS!$F100,10&lt;=WBS!$T100),IF(WBS!$L100="Done",3,IF(WBS!$L100="Doing",2,IF(WBS!$L100="Blocked",4,IF(WBS!$L100="Deferred",5,1)))),""))</f>
        <v/>
      </c>
      <c r="P100" s="58" t="str">
        <f>IF(OR(WBS!$F100="",WBS!$T100=""),"",IF(AND(11&gt;=WBS!$F100,11&lt;=WBS!$T100),IF(WBS!$L100="Done",3,IF(WBS!$L100="Doing",2,IF(WBS!$L100="Blocked",4,IF(WBS!$L100="Deferred",5,1)))),""))</f>
        <v/>
      </c>
      <c r="Q100" s="58" t="str">
        <f>IF(OR(WBS!$F100="",WBS!$T100=""),"",IF(AND(12&gt;=WBS!$F100,12&lt;=WBS!$T100),IF(WBS!$L100="Done",3,IF(WBS!$L100="Doing",2,IF(WBS!$L100="Blocked",4,IF(WBS!$L100="Deferred",5,1)))),""))</f>
        <v/>
      </c>
      <c r="R100" s="58" t="str">
        <f>IF(OR(WBS!$F100="",WBS!$T100=""),"",IF(AND(13&gt;=WBS!$F100,13&lt;=WBS!$T100),IF(WBS!$L100="Done",3,IF(WBS!$L100="Doing",2,IF(WBS!$L100="Blocked",4,IF(WBS!$L100="Deferred",5,1)))),""))</f>
        <v/>
      </c>
      <c r="S100" s="58">
        <f>IF(OR(WBS!$F100="",WBS!$T100=""),"",IF(AND(14&gt;=WBS!$F100,14&lt;=WBS!$T100),IF(WBS!$L100="Done",3,IF(WBS!$L100="Doing",2,IF(WBS!$L100="Blocked",4,IF(WBS!$L100="Deferred",5,1)))),""))</f>
        <v>1</v>
      </c>
      <c r="T100" s="58" t="str">
        <f>IF(OR(WBS!$F100="",WBS!$T100=""),"",IF(AND(15&gt;=WBS!$F100,15&lt;=WBS!$T100),IF(WBS!$L100="Done",3,IF(WBS!$L100="Doing",2,IF(WBS!$L100="Blocked",4,IF(WBS!$L100="Deferred",5,1)))),""))</f>
        <v/>
      </c>
      <c r="U100" s="58" t="str">
        <f>IF(OR(WBS!$F100="",WBS!$T100=""),"",IF(AND(16&gt;=WBS!$F100,16&lt;=WBS!$T100),IF(WBS!$L100="Done",3,IF(WBS!$L100="Doing",2,IF(WBS!$L100="Blocked",4,IF(WBS!$L100="Deferred",5,1)))),""))</f>
        <v/>
      </c>
      <c r="V100" s="58" t="str">
        <f>IF(OR(WBS!$F100="",WBS!$T100=""),"",IF(AND(17&gt;=WBS!$F100,17&lt;=WBS!$T100),IF(WBS!$L100="Done",3,IF(WBS!$L100="Doing",2,IF(WBS!$L100="Blocked",4,IF(WBS!$L100="Deferred",5,1)))),""))</f>
        <v/>
      </c>
      <c r="W100" s="58" t="str">
        <f>IF(OR(WBS!$F100="",WBS!$T100=""),"",IF(AND(18&gt;=WBS!$F100,18&lt;=WBS!$T100),IF(WBS!$L100="Done",3,IF(WBS!$L100="Doing",2,IF(WBS!$L100="Blocked",4,IF(WBS!$L100="Deferred",5,1)))),""))</f>
        <v/>
      </c>
      <c r="X100" s="58" t="str">
        <f>IF(OR(WBS!$F100="",WBS!$T100=""),"",IF(AND(19&gt;=WBS!$F100,19&lt;=WBS!$T100),IF(WBS!$L100="Done",3,IF(WBS!$L100="Doing",2,IF(WBS!$L100="Blocked",4,IF(WBS!$L100="Deferred",5,1)))),""))</f>
        <v/>
      </c>
      <c r="Y100" s="58" t="str">
        <f>IF(OR(WBS!$F100="",WBS!$T100=""),"",IF(AND(20&gt;=WBS!$F100,20&lt;=WBS!$T100),IF(WBS!$L100="Done",3,IF(WBS!$L100="Doing",2,IF(WBS!$L100="Blocked",4,IF(WBS!$L100="Deferred",5,1)))),""))</f>
        <v/>
      </c>
      <c r="Z100" s="58" t="str">
        <f>IF(OR(WBS!$F100="",WBS!$T100=""),"",IF(AND(21&gt;=WBS!$F100,21&lt;=WBS!$T100),IF(WBS!$L100="Done",3,IF(WBS!$L100="Doing",2,IF(WBS!$L100="Blocked",4,IF(WBS!$L100="Deferred",5,1)))),""))</f>
        <v/>
      </c>
    </row>
    <row r="101" spans="1:26" x14ac:dyDescent="0.3">
      <c r="A101" s="64" t="str">
        <f>WBS!$A101</f>
        <v>6.2.3</v>
      </c>
      <c r="B101" s="65" t="str">
        <f>WBS!$C101</f>
        <v xml:space="preserve">        Outbox retry, backoff, circuit breaker and dead letter queue</v>
      </c>
      <c r="C101" s="66" t="str">
        <f>IF(WBS!$E101="","",WBS!$E101)</f>
        <v>INT</v>
      </c>
      <c r="D101" s="67">
        <f>WBS!$J101</f>
        <v>1.5</v>
      </c>
      <c r="E101" s="68">
        <f>WBS!$M101</f>
        <v>0</v>
      </c>
      <c r="F101" s="58" t="str">
        <f>IF(OR(WBS!$F101="",WBS!$T101=""),"",IF(AND(1&gt;=WBS!$F101,1&lt;=WBS!$T101),IF(WBS!$L101="Done",3,IF(WBS!$L101="Doing",2,IF(WBS!$L101="Blocked",4,IF(WBS!$L101="Deferred",5,1)))),""))</f>
        <v/>
      </c>
      <c r="G101" s="58" t="str">
        <f>IF(OR(WBS!$F101="",WBS!$T101=""),"",IF(AND(2&gt;=WBS!$F101,2&lt;=WBS!$T101),IF(WBS!$L101="Done",3,IF(WBS!$L101="Doing",2,IF(WBS!$L101="Blocked",4,IF(WBS!$L101="Deferred",5,1)))),""))</f>
        <v/>
      </c>
      <c r="H101" s="58" t="str">
        <f>IF(OR(WBS!$F101="",WBS!$T101=""),"",IF(AND(3&gt;=WBS!$F101,3&lt;=WBS!$T101),IF(WBS!$L101="Done",3,IF(WBS!$L101="Doing",2,IF(WBS!$L101="Blocked",4,IF(WBS!$L101="Deferred",5,1)))),""))</f>
        <v/>
      </c>
      <c r="I101" s="58" t="str">
        <f>IF(OR(WBS!$F101="",WBS!$T101=""),"",IF(AND(4&gt;=WBS!$F101,4&lt;=WBS!$T101),IF(WBS!$L101="Done",3,IF(WBS!$L101="Doing",2,IF(WBS!$L101="Blocked",4,IF(WBS!$L101="Deferred",5,1)))),""))</f>
        <v/>
      </c>
      <c r="J101" s="58" t="str">
        <f>IF(OR(WBS!$F101="",WBS!$T101=""),"",IF(AND(5&gt;=WBS!$F101,5&lt;=WBS!$T101),IF(WBS!$L101="Done",3,IF(WBS!$L101="Doing",2,IF(WBS!$L101="Blocked",4,IF(WBS!$L101="Deferred",5,1)))),""))</f>
        <v/>
      </c>
      <c r="K101" s="58" t="str">
        <f>IF(OR(WBS!$F101="",WBS!$T101=""),"",IF(AND(6&gt;=WBS!$F101,6&lt;=WBS!$T101),IF(WBS!$L101="Done",3,IF(WBS!$L101="Doing",2,IF(WBS!$L101="Blocked",4,IF(WBS!$L101="Deferred",5,1)))),""))</f>
        <v/>
      </c>
      <c r="L101" s="58" t="str">
        <f>IF(OR(WBS!$F101="",WBS!$T101=""),"",IF(AND(7&gt;=WBS!$F101,7&lt;=WBS!$T101),IF(WBS!$L101="Done",3,IF(WBS!$L101="Doing",2,IF(WBS!$L101="Blocked",4,IF(WBS!$L101="Deferred",5,1)))),""))</f>
        <v/>
      </c>
      <c r="M101" s="58" t="str">
        <f>IF(OR(WBS!$F101="",WBS!$T101=""),"",IF(AND(8&gt;=WBS!$F101,8&lt;=WBS!$T101),IF(WBS!$L101="Done",3,IF(WBS!$L101="Doing",2,IF(WBS!$L101="Blocked",4,IF(WBS!$L101="Deferred",5,1)))),""))</f>
        <v/>
      </c>
      <c r="N101" s="58" t="str">
        <f>IF(OR(WBS!$F101="",WBS!$T101=""),"",IF(AND(9&gt;=WBS!$F101,9&lt;=WBS!$T101),IF(WBS!$L101="Done",3,IF(WBS!$L101="Doing",2,IF(WBS!$L101="Blocked",4,IF(WBS!$L101="Deferred",5,1)))),""))</f>
        <v/>
      </c>
      <c r="O101" s="58" t="str">
        <f>IF(OR(WBS!$F101="",WBS!$T101=""),"",IF(AND(10&gt;=WBS!$F101,10&lt;=WBS!$T101),IF(WBS!$L101="Done",3,IF(WBS!$L101="Doing",2,IF(WBS!$L101="Blocked",4,IF(WBS!$L101="Deferred",5,1)))),""))</f>
        <v/>
      </c>
      <c r="P101" s="58" t="str">
        <f>IF(OR(WBS!$F101="",WBS!$T101=""),"",IF(AND(11&gt;=WBS!$F101,11&lt;=WBS!$T101),IF(WBS!$L101="Done",3,IF(WBS!$L101="Doing",2,IF(WBS!$L101="Blocked",4,IF(WBS!$L101="Deferred",5,1)))),""))</f>
        <v/>
      </c>
      <c r="Q101" s="58" t="str">
        <f>IF(OR(WBS!$F101="",WBS!$T101=""),"",IF(AND(12&gt;=WBS!$F101,12&lt;=WBS!$T101),IF(WBS!$L101="Done",3,IF(WBS!$L101="Doing",2,IF(WBS!$L101="Blocked",4,IF(WBS!$L101="Deferred",5,1)))),""))</f>
        <v/>
      </c>
      <c r="R101" s="58" t="str">
        <f>IF(OR(WBS!$F101="",WBS!$T101=""),"",IF(AND(13&gt;=WBS!$F101,13&lt;=WBS!$T101),IF(WBS!$L101="Done",3,IF(WBS!$L101="Doing",2,IF(WBS!$L101="Blocked",4,IF(WBS!$L101="Deferred",5,1)))),""))</f>
        <v/>
      </c>
      <c r="S101" s="58">
        <f>IF(OR(WBS!$F101="",WBS!$T101=""),"",IF(AND(14&gt;=WBS!$F101,14&lt;=WBS!$T101),IF(WBS!$L101="Done",3,IF(WBS!$L101="Doing",2,IF(WBS!$L101="Blocked",4,IF(WBS!$L101="Deferred",5,1)))),""))</f>
        <v>1</v>
      </c>
      <c r="T101" s="58" t="str">
        <f>IF(OR(WBS!$F101="",WBS!$T101=""),"",IF(AND(15&gt;=WBS!$F101,15&lt;=WBS!$T101),IF(WBS!$L101="Done",3,IF(WBS!$L101="Doing",2,IF(WBS!$L101="Blocked",4,IF(WBS!$L101="Deferred",5,1)))),""))</f>
        <v/>
      </c>
      <c r="U101" s="58" t="str">
        <f>IF(OR(WBS!$F101="",WBS!$T101=""),"",IF(AND(16&gt;=WBS!$F101,16&lt;=WBS!$T101),IF(WBS!$L101="Done",3,IF(WBS!$L101="Doing",2,IF(WBS!$L101="Blocked",4,IF(WBS!$L101="Deferred",5,1)))),""))</f>
        <v/>
      </c>
      <c r="V101" s="58" t="str">
        <f>IF(OR(WBS!$F101="",WBS!$T101=""),"",IF(AND(17&gt;=WBS!$F101,17&lt;=WBS!$T101),IF(WBS!$L101="Done",3,IF(WBS!$L101="Doing",2,IF(WBS!$L101="Blocked",4,IF(WBS!$L101="Deferred",5,1)))),""))</f>
        <v/>
      </c>
      <c r="W101" s="58" t="str">
        <f>IF(OR(WBS!$F101="",WBS!$T101=""),"",IF(AND(18&gt;=WBS!$F101,18&lt;=WBS!$T101),IF(WBS!$L101="Done",3,IF(WBS!$L101="Doing",2,IF(WBS!$L101="Blocked",4,IF(WBS!$L101="Deferred",5,1)))),""))</f>
        <v/>
      </c>
      <c r="X101" s="58" t="str">
        <f>IF(OR(WBS!$F101="",WBS!$T101=""),"",IF(AND(19&gt;=WBS!$F101,19&lt;=WBS!$T101),IF(WBS!$L101="Done",3,IF(WBS!$L101="Doing",2,IF(WBS!$L101="Blocked",4,IF(WBS!$L101="Deferred",5,1)))),""))</f>
        <v/>
      </c>
      <c r="Y101" s="58" t="str">
        <f>IF(OR(WBS!$F101="",WBS!$T101=""),"",IF(AND(20&gt;=WBS!$F101,20&lt;=WBS!$T101),IF(WBS!$L101="Done",3,IF(WBS!$L101="Doing",2,IF(WBS!$L101="Blocked",4,IF(WBS!$L101="Deferred",5,1)))),""))</f>
        <v/>
      </c>
      <c r="Z101" s="58" t="str">
        <f>IF(OR(WBS!$F101="",WBS!$T101=""),"",IF(AND(21&gt;=WBS!$F101,21&lt;=WBS!$T101),IF(WBS!$L101="Done",3,IF(WBS!$L101="Doing",2,IF(WBS!$L101="Blocked",4,IF(WBS!$L101="Deferred",5,1)))),""))</f>
        <v/>
      </c>
    </row>
    <row r="102" spans="1:26" x14ac:dyDescent="0.3">
      <c r="A102" s="59" t="str">
        <f>WBS!$A102</f>
        <v>6.3</v>
      </c>
      <c r="B102" s="60" t="str">
        <f>WBS!$C102</f>
        <v xml:space="preserve">    Passenger ordering</v>
      </c>
      <c r="C102" s="61" t="str">
        <f>IF(WBS!$E102="","",WBS!$E102)</f>
        <v/>
      </c>
      <c r="D102" s="62">
        <f>WBS!$J102</f>
        <v>2</v>
      </c>
      <c r="E102" s="63">
        <f>WBS!$M102</f>
        <v>0</v>
      </c>
      <c r="F102" s="58" t="str">
        <f>IF(OR(WBS!$F102="",WBS!$T102=""),"",IF(AND(1&gt;=WBS!$F102,1&lt;=WBS!$T102),IF(WBS!$L102="Done",3,IF(WBS!$L102="Doing",2,IF(WBS!$L102="Blocked",4,IF(WBS!$L102="Deferred",5,1)))),""))</f>
        <v/>
      </c>
      <c r="G102" s="58" t="str">
        <f>IF(OR(WBS!$F102="",WBS!$T102=""),"",IF(AND(2&gt;=WBS!$F102,2&lt;=WBS!$T102),IF(WBS!$L102="Done",3,IF(WBS!$L102="Doing",2,IF(WBS!$L102="Blocked",4,IF(WBS!$L102="Deferred",5,1)))),""))</f>
        <v/>
      </c>
      <c r="H102" s="58" t="str">
        <f>IF(OR(WBS!$F102="",WBS!$T102=""),"",IF(AND(3&gt;=WBS!$F102,3&lt;=WBS!$T102),IF(WBS!$L102="Done",3,IF(WBS!$L102="Doing",2,IF(WBS!$L102="Blocked",4,IF(WBS!$L102="Deferred",5,1)))),""))</f>
        <v/>
      </c>
      <c r="I102" s="58" t="str">
        <f>IF(OR(WBS!$F102="",WBS!$T102=""),"",IF(AND(4&gt;=WBS!$F102,4&lt;=WBS!$T102),IF(WBS!$L102="Done",3,IF(WBS!$L102="Doing",2,IF(WBS!$L102="Blocked",4,IF(WBS!$L102="Deferred",5,1)))),""))</f>
        <v/>
      </c>
      <c r="J102" s="58" t="str">
        <f>IF(OR(WBS!$F102="",WBS!$T102=""),"",IF(AND(5&gt;=WBS!$F102,5&lt;=WBS!$T102),IF(WBS!$L102="Done",3,IF(WBS!$L102="Doing",2,IF(WBS!$L102="Blocked",4,IF(WBS!$L102="Deferred",5,1)))),""))</f>
        <v/>
      </c>
      <c r="K102" s="58" t="str">
        <f>IF(OR(WBS!$F102="",WBS!$T102=""),"",IF(AND(6&gt;=WBS!$F102,6&lt;=WBS!$T102),IF(WBS!$L102="Done",3,IF(WBS!$L102="Doing",2,IF(WBS!$L102="Blocked",4,IF(WBS!$L102="Deferred",5,1)))),""))</f>
        <v/>
      </c>
      <c r="L102" s="58" t="str">
        <f>IF(OR(WBS!$F102="",WBS!$T102=""),"",IF(AND(7&gt;=WBS!$F102,7&lt;=WBS!$T102),IF(WBS!$L102="Done",3,IF(WBS!$L102="Doing",2,IF(WBS!$L102="Blocked",4,IF(WBS!$L102="Deferred",5,1)))),""))</f>
        <v/>
      </c>
      <c r="M102" s="58" t="str">
        <f>IF(OR(WBS!$F102="",WBS!$T102=""),"",IF(AND(8&gt;=WBS!$F102,8&lt;=WBS!$T102),IF(WBS!$L102="Done",3,IF(WBS!$L102="Doing",2,IF(WBS!$L102="Blocked",4,IF(WBS!$L102="Deferred",5,1)))),""))</f>
        <v/>
      </c>
      <c r="N102" s="58" t="str">
        <f>IF(OR(WBS!$F102="",WBS!$T102=""),"",IF(AND(9&gt;=WBS!$F102,9&lt;=WBS!$T102),IF(WBS!$L102="Done",3,IF(WBS!$L102="Doing",2,IF(WBS!$L102="Blocked",4,IF(WBS!$L102="Deferred",5,1)))),""))</f>
        <v/>
      </c>
      <c r="O102" s="58" t="str">
        <f>IF(OR(WBS!$F102="",WBS!$T102=""),"",IF(AND(10&gt;=WBS!$F102,10&lt;=WBS!$T102),IF(WBS!$L102="Done",3,IF(WBS!$L102="Doing",2,IF(WBS!$L102="Blocked",4,IF(WBS!$L102="Deferred",5,1)))),""))</f>
        <v/>
      </c>
      <c r="P102" s="58" t="str">
        <f>IF(OR(WBS!$F102="",WBS!$T102=""),"",IF(AND(11&gt;=WBS!$F102,11&lt;=WBS!$T102),IF(WBS!$L102="Done",3,IF(WBS!$L102="Doing",2,IF(WBS!$L102="Blocked",4,IF(WBS!$L102="Deferred",5,1)))),""))</f>
        <v/>
      </c>
      <c r="Q102" s="58" t="str">
        <f>IF(OR(WBS!$F102="",WBS!$T102=""),"",IF(AND(12&gt;=WBS!$F102,12&lt;=WBS!$T102),IF(WBS!$L102="Done",3,IF(WBS!$L102="Doing",2,IF(WBS!$L102="Blocked",4,IF(WBS!$L102="Deferred",5,1)))),""))</f>
        <v/>
      </c>
      <c r="R102" s="58" t="str">
        <f>IF(OR(WBS!$F102="",WBS!$T102=""),"",IF(AND(13&gt;=WBS!$F102,13&lt;=WBS!$T102),IF(WBS!$L102="Done",3,IF(WBS!$L102="Doing",2,IF(WBS!$L102="Blocked",4,IF(WBS!$L102="Deferred",5,1)))),""))</f>
        <v/>
      </c>
      <c r="S102" s="58">
        <f>IF(OR(WBS!$F102="",WBS!$T102=""),"",IF(AND(14&gt;=WBS!$F102,14&lt;=WBS!$T102),IF(WBS!$L102="Done",3,IF(WBS!$L102="Doing",2,IF(WBS!$L102="Blocked",4,IF(WBS!$L102="Deferred",5,1)))),""))</f>
        <v>1</v>
      </c>
      <c r="T102" s="58" t="str">
        <f>IF(OR(WBS!$F102="",WBS!$T102=""),"",IF(AND(15&gt;=WBS!$F102,15&lt;=WBS!$T102),IF(WBS!$L102="Done",3,IF(WBS!$L102="Doing",2,IF(WBS!$L102="Blocked",4,IF(WBS!$L102="Deferred",5,1)))),""))</f>
        <v/>
      </c>
      <c r="U102" s="58" t="str">
        <f>IF(OR(WBS!$F102="",WBS!$T102=""),"",IF(AND(16&gt;=WBS!$F102,16&lt;=WBS!$T102),IF(WBS!$L102="Done",3,IF(WBS!$L102="Doing",2,IF(WBS!$L102="Blocked",4,IF(WBS!$L102="Deferred",5,1)))),""))</f>
        <v/>
      </c>
      <c r="V102" s="58" t="str">
        <f>IF(OR(WBS!$F102="",WBS!$T102=""),"",IF(AND(17&gt;=WBS!$F102,17&lt;=WBS!$T102),IF(WBS!$L102="Done",3,IF(WBS!$L102="Doing",2,IF(WBS!$L102="Blocked",4,IF(WBS!$L102="Deferred",5,1)))),""))</f>
        <v/>
      </c>
      <c r="W102" s="58" t="str">
        <f>IF(OR(WBS!$F102="",WBS!$T102=""),"",IF(AND(18&gt;=WBS!$F102,18&lt;=WBS!$T102),IF(WBS!$L102="Done",3,IF(WBS!$L102="Doing",2,IF(WBS!$L102="Blocked",4,IF(WBS!$L102="Deferred",5,1)))),""))</f>
        <v/>
      </c>
      <c r="X102" s="58" t="str">
        <f>IF(OR(WBS!$F102="",WBS!$T102=""),"",IF(AND(19&gt;=WBS!$F102,19&lt;=WBS!$T102),IF(WBS!$L102="Done",3,IF(WBS!$L102="Doing",2,IF(WBS!$L102="Blocked",4,IF(WBS!$L102="Deferred",5,1)))),""))</f>
        <v/>
      </c>
      <c r="Y102" s="58" t="str">
        <f>IF(OR(WBS!$F102="",WBS!$T102=""),"",IF(AND(20&gt;=WBS!$F102,20&lt;=WBS!$T102),IF(WBS!$L102="Done",3,IF(WBS!$L102="Doing",2,IF(WBS!$L102="Blocked",4,IF(WBS!$L102="Deferred",5,1)))),""))</f>
        <v/>
      </c>
      <c r="Z102" s="58" t="str">
        <f>IF(OR(WBS!$F102="",WBS!$T102=""),"",IF(AND(21&gt;=WBS!$F102,21&lt;=WBS!$T102),IF(WBS!$L102="Done",3,IF(WBS!$L102="Doing",2,IF(WBS!$L102="Blocked",4,IF(WBS!$L102="Deferred",5,1)))),""))</f>
        <v/>
      </c>
    </row>
    <row r="103" spans="1:26" x14ac:dyDescent="0.3">
      <c r="A103" s="64" t="str">
        <f>WBS!$A103</f>
        <v>6.3.1</v>
      </c>
      <c r="B103" s="65" t="str">
        <f>WBS!$C103</f>
        <v xml:space="preserve">        Food ordering UI over the external menu</v>
      </c>
      <c r="C103" s="66" t="str">
        <f>IF(WBS!$E103="","",WBS!$E103)</f>
        <v>MOB</v>
      </c>
      <c r="D103" s="67">
        <f>WBS!$J103</f>
        <v>2</v>
      </c>
      <c r="E103" s="68">
        <f>WBS!$M103</f>
        <v>0</v>
      </c>
      <c r="F103" s="58" t="str">
        <f>IF(OR(WBS!$F103="",WBS!$T103=""),"",IF(AND(1&gt;=WBS!$F103,1&lt;=WBS!$T103),IF(WBS!$L103="Done",3,IF(WBS!$L103="Doing",2,IF(WBS!$L103="Blocked",4,IF(WBS!$L103="Deferred",5,1)))),""))</f>
        <v/>
      </c>
      <c r="G103" s="58" t="str">
        <f>IF(OR(WBS!$F103="",WBS!$T103=""),"",IF(AND(2&gt;=WBS!$F103,2&lt;=WBS!$T103),IF(WBS!$L103="Done",3,IF(WBS!$L103="Doing",2,IF(WBS!$L103="Blocked",4,IF(WBS!$L103="Deferred",5,1)))),""))</f>
        <v/>
      </c>
      <c r="H103" s="58" t="str">
        <f>IF(OR(WBS!$F103="",WBS!$T103=""),"",IF(AND(3&gt;=WBS!$F103,3&lt;=WBS!$T103),IF(WBS!$L103="Done",3,IF(WBS!$L103="Doing",2,IF(WBS!$L103="Blocked",4,IF(WBS!$L103="Deferred",5,1)))),""))</f>
        <v/>
      </c>
      <c r="I103" s="58" t="str">
        <f>IF(OR(WBS!$F103="",WBS!$T103=""),"",IF(AND(4&gt;=WBS!$F103,4&lt;=WBS!$T103),IF(WBS!$L103="Done",3,IF(WBS!$L103="Doing",2,IF(WBS!$L103="Blocked",4,IF(WBS!$L103="Deferred",5,1)))),""))</f>
        <v/>
      </c>
      <c r="J103" s="58" t="str">
        <f>IF(OR(WBS!$F103="",WBS!$T103=""),"",IF(AND(5&gt;=WBS!$F103,5&lt;=WBS!$T103),IF(WBS!$L103="Done",3,IF(WBS!$L103="Doing",2,IF(WBS!$L103="Blocked",4,IF(WBS!$L103="Deferred",5,1)))),""))</f>
        <v/>
      </c>
      <c r="K103" s="58" t="str">
        <f>IF(OR(WBS!$F103="",WBS!$T103=""),"",IF(AND(6&gt;=WBS!$F103,6&lt;=WBS!$T103),IF(WBS!$L103="Done",3,IF(WBS!$L103="Doing",2,IF(WBS!$L103="Blocked",4,IF(WBS!$L103="Deferred",5,1)))),""))</f>
        <v/>
      </c>
      <c r="L103" s="58" t="str">
        <f>IF(OR(WBS!$F103="",WBS!$T103=""),"",IF(AND(7&gt;=WBS!$F103,7&lt;=WBS!$T103),IF(WBS!$L103="Done",3,IF(WBS!$L103="Doing",2,IF(WBS!$L103="Blocked",4,IF(WBS!$L103="Deferred",5,1)))),""))</f>
        <v/>
      </c>
      <c r="M103" s="58" t="str">
        <f>IF(OR(WBS!$F103="",WBS!$T103=""),"",IF(AND(8&gt;=WBS!$F103,8&lt;=WBS!$T103),IF(WBS!$L103="Done",3,IF(WBS!$L103="Doing",2,IF(WBS!$L103="Blocked",4,IF(WBS!$L103="Deferred",5,1)))),""))</f>
        <v/>
      </c>
      <c r="N103" s="58" t="str">
        <f>IF(OR(WBS!$F103="",WBS!$T103=""),"",IF(AND(9&gt;=WBS!$F103,9&lt;=WBS!$T103),IF(WBS!$L103="Done",3,IF(WBS!$L103="Doing",2,IF(WBS!$L103="Blocked",4,IF(WBS!$L103="Deferred",5,1)))),""))</f>
        <v/>
      </c>
      <c r="O103" s="58" t="str">
        <f>IF(OR(WBS!$F103="",WBS!$T103=""),"",IF(AND(10&gt;=WBS!$F103,10&lt;=WBS!$T103),IF(WBS!$L103="Done",3,IF(WBS!$L103="Doing",2,IF(WBS!$L103="Blocked",4,IF(WBS!$L103="Deferred",5,1)))),""))</f>
        <v/>
      </c>
      <c r="P103" s="58" t="str">
        <f>IF(OR(WBS!$F103="",WBS!$T103=""),"",IF(AND(11&gt;=WBS!$F103,11&lt;=WBS!$T103),IF(WBS!$L103="Done",3,IF(WBS!$L103="Doing",2,IF(WBS!$L103="Blocked",4,IF(WBS!$L103="Deferred",5,1)))),""))</f>
        <v/>
      </c>
      <c r="Q103" s="58" t="str">
        <f>IF(OR(WBS!$F103="",WBS!$T103=""),"",IF(AND(12&gt;=WBS!$F103,12&lt;=WBS!$T103),IF(WBS!$L103="Done",3,IF(WBS!$L103="Doing",2,IF(WBS!$L103="Blocked",4,IF(WBS!$L103="Deferred",5,1)))),""))</f>
        <v/>
      </c>
      <c r="R103" s="58" t="str">
        <f>IF(OR(WBS!$F103="",WBS!$T103=""),"",IF(AND(13&gt;=WBS!$F103,13&lt;=WBS!$T103),IF(WBS!$L103="Done",3,IF(WBS!$L103="Doing",2,IF(WBS!$L103="Blocked",4,IF(WBS!$L103="Deferred",5,1)))),""))</f>
        <v/>
      </c>
      <c r="S103" s="58">
        <f>IF(OR(WBS!$F103="",WBS!$T103=""),"",IF(AND(14&gt;=WBS!$F103,14&lt;=WBS!$T103),IF(WBS!$L103="Done",3,IF(WBS!$L103="Doing",2,IF(WBS!$L103="Blocked",4,IF(WBS!$L103="Deferred",5,1)))),""))</f>
        <v>1</v>
      </c>
      <c r="T103" s="58" t="str">
        <f>IF(OR(WBS!$F103="",WBS!$T103=""),"",IF(AND(15&gt;=WBS!$F103,15&lt;=WBS!$T103),IF(WBS!$L103="Done",3,IF(WBS!$L103="Doing",2,IF(WBS!$L103="Blocked",4,IF(WBS!$L103="Deferred",5,1)))),""))</f>
        <v/>
      </c>
      <c r="U103" s="58" t="str">
        <f>IF(OR(WBS!$F103="",WBS!$T103=""),"",IF(AND(16&gt;=WBS!$F103,16&lt;=WBS!$T103),IF(WBS!$L103="Done",3,IF(WBS!$L103="Doing",2,IF(WBS!$L103="Blocked",4,IF(WBS!$L103="Deferred",5,1)))),""))</f>
        <v/>
      </c>
      <c r="V103" s="58" t="str">
        <f>IF(OR(WBS!$F103="",WBS!$T103=""),"",IF(AND(17&gt;=WBS!$F103,17&lt;=WBS!$T103),IF(WBS!$L103="Done",3,IF(WBS!$L103="Doing",2,IF(WBS!$L103="Blocked",4,IF(WBS!$L103="Deferred",5,1)))),""))</f>
        <v/>
      </c>
      <c r="W103" s="58" t="str">
        <f>IF(OR(WBS!$F103="",WBS!$T103=""),"",IF(AND(18&gt;=WBS!$F103,18&lt;=WBS!$T103),IF(WBS!$L103="Done",3,IF(WBS!$L103="Doing",2,IF(WBS!$L103="Blocked",4,IF(WBS!$L103="Deferred",5,1)))),""))</f>
        <v/>
      </c>
      <c r="X103" s="58" t="str">
        <f>IF(OR(WBS!$F103="",WBS!$T103=""),"",IF(AND(19&gt;=WBS!$F103,19&lt;=WBS!$T103),IF(WBS!$L103="Done",3,IF(WBS!$L103="Doing",2,IF(WBS!$L103="Blocked",4,IF(WBS!$L103="Deferred",5,1)))),""))</f>
        <v/>
      </c>
      <c r="Y103" s="58" t="str">
        <f>IF(OR(WBS!$F103="",WBS!$T103=""),"",IF(AND(20&gt;=WBS!$F103,20&lt;=WBS!$T103),IF(WBS!$L103="Done",3,IF(WBS!$L103="Doing",2,IF(WBS!$L103="Blocked",4,IF(WBS!$L103="Deferred",5,1)))),""))</f>
        <v/>
      </c>
      <c r="Z103" s="58" t="str">
        <f>IF(OR(WBS!$F103="",WBS!$T103=""),"",IF(AND(21&gt;=WBS!$F103,21&lt;=WBS!$T103),IF(WBS!$L103="Done",3,IF(WBS!$L103="Doing",2,IF(WBS!$L103="Blocked",4,IF(WBS!$L103="Deferred",5,1)))),""))</f>
        <v/>
      </c>
    </row>
    <row r="104" spans="1:26" x14ac:dyDescent="0.3">
      <c r="A104" s="53" t="str">
        <f>WBS!$A104</f>
        <v>7</v>
      </c>
      <c r="B104" s="54" t="str">
        <f>WBS!$C104</f>
        <v>Harden and Prove</v>
      </c>
      <c r="C104" s="55" t="str">
        <f>IF(WBS!$E104="","",WBS!$E104)</f>
        <v/>
      </c>
      <c r="D104" s="56">
        <f>WBS!$J104</f>
        <v>32</v>
      </c>
      <c r="E104" s="57">
        <f>WBS!$M104</f>
        <v>0</v>
      </c>
      <c r="F104" s="58" t="str">
        <f>IF(OR(WBS!$F104="",WBS!$T104=""),"",IF(AND(1&gt;=WBS!$F104,1&lt;=WBS!$T104),IF(WBS!$L104="Done",3,IF(WBS!$L104="Doing",2,IF(WBS!$L104="Blocked",4,IF(WBS!$L104="Deferred",5,1)))),""))</f>
        <v/>
      </c>
      <c r="G104" s="58" t="str">
        <f>IF(OR(WBS!$F104="",WBS!$T104=""),"",IF(AND(2&gt;=WBS!$F104,2&lt;=WBS!$T104),IF(WBS!$L104="Done",3,IF(WBS!$L104="Doing",2,IF(WBS!$L104="Blocked",4,IF(WBS!$L104="Deferred",5,1)))),""))</f>
        <v/>
      </c>
      <c r="H104" s="58" t="str">
        <f>IF(OR(WBS!$F104="",WBS!$T104=""),"",IF(AND(3&gt;=WBS!$F104,3&lt;=WBS!$T104),IF(WBS!$L104="Done",3,IF(WBS!$L104="Doing",2,IF(WBS!$L104="Blocked",4,IF(WBS!$L104="Deferred",5,1)))),""))</f>
        <v/>
      </c>
      <c r="I104" s="58" t="str">
        <f>IF(OR(WBS!$F104="",WBS!$T104=""),"",IF(AND(4&gt;=WBS!$F104,4&lt;=WBS!$T104),IF(WBS!$L104="Done",3,IF(WBS!$L104="Doing",2,IF(WBS!$L104="Blocked",4,IF(WBS!$L104="Deferred",5,1)))),""))</f>
        <v/>
      </c>
      <c r="J104" s="58" t="str">
        <f>IF(OR(WBS!$F104="",WBS!$T104=""),"",IF(AND(5&gt;=WBS!$F104,5&lt;=WBS!$T104),IF(WBS!$L104="Done",3,IF(WBS!$L104="Doing",2,IF(WBS!$L104="Blocked",4,IF(WBS!$L104="Deferred",5,1)))),""))</f>
        <v/>
      </c>
      <c r="K104" s="58" t="str">
        <f>IF(OR(WBS!$F104="",WBS!$T104=""),"",IF(AND(6&gt;=WBS!$F104,6&lt;=WBS!$T104),IF(WBS!$L104="Done",3,IF(WBS!$L104="Doing",2,IF(WBS!$L104="Blocked",4,IF(WBS!$L104="Deferred",5,1)))),""))</f>
        <v/>
      </c>
      <c r="L104" s="58" t="str">
        <f>IF(OR(WBS!$F104="",WBS!$T104=""),"",IF(AND(7&gt;=WBS!$F104,7&lt;=WBS!$T104),IF(WBS!$L104="Done",3,IF(WBS!$L104="Doing",2,IF(WBS!$L104="Blocked",4,IF(WBS!$L104="Deferred",5,1)))),""))</f>
        <v/>
      </c>
      <c r="M104" s="58" t="str">
        <f>IF(OR(WBS!$F104="",WBS!$T104=""),"",IF(AND(8&gt;=WBS!$F104,8&lt;=WBS!$T104),IF(WBS!$L104="Done",3,IF(WBS!$L104="Doing",2,IF(WBS!$L104="Blocked",4,IF(WBS!$L104="Deferred",5,1)))),""))</f>
        <v/>
      </c>
      <c r="N104" s="58" t="str">
        <f>IF(OR(WBS!$F104="",WBS!$T104=""),"",IF(AND(9&gt;=WBS!$F104,9&lt;=WBS!$T104),IF(WBS!$L104="Done",3,IF(WBS!$L104="Doing",2,IF(WBS!$L104="Blocked",4,IF(WBS!$L104="Deferred",5,1)))),""))</f>
        <v/>
      </c>
      <c r="O104" s="58" t="str">
        <f>IF(OR(WBS!$F104="",WBS!$T104=""),"",IF(AND(10&gt;=WBS!$F104,10&lt;=WBS!$T104),IF(WBS!$L104="Done",3,IF(WBS!$L104="Doing",2,IF(WBS!$L104="Blocked",4,IF(WBS!$L104="Deferred",5,1)))),""))</f>
        <v/>
      </c>
      <c r="P104" s="58" t="str">
        <f>IF(OR(WBS!$F104="",WBS!$T104=""),"",IF(AND(11&gt;=WBS!$F104,11&lt;=WBS!$T104),IF(WBS!$L104="Done",3,IF(WBS!$L104="Doing",2,IF(WBS!$L104="Blocked",4,IF(WBS!$L104="Deferred",5,1)))),""))</f>
        <v/>
      </c>
      <c r="Q104" s="58" t="str">
        <f>IF(OR(WBS!$F104="",WBS!$T104=""),"",IF(AND(12&gt;=WBS!$F104,12&lt;=WBS!$T104),IF(WBS!$L104="Done",3,IF(WBS!$L104="Doing",2,IF(WBS!$L104="Blocked",4,IF(WBS!$L104="Deferred",5,1)))),""))</f>
        <v/>
      </c>
      <c r="R104" s="58" t="str">
        <f>IF(OR(WBS!$F104="",WBS!$T104=""),"",IF(AND(13&gt;=WBS!$F104,13&lt;=WBS!$T104),IF(WBS!$L104="Done",3,IF(WBS!$L104="Doing",2,IF(WBS!$L104="Blocked",4,IF(WBS!$L104="Deferred",5,1)))),""))</f>
        <v/>
      </c>
      <c r="S104" s="58" t="str">
        <f>IF(OR(WBS!$F104="",WBS!$T104=""),"",IF(AND(14&gt;=WBS!$F104,14&lt;=WBS!$T104),IF(WBS!$L104="Done",3,IF(WBS!$L104="Doing",2,IF(WBS!$L104="Blocked",4,IF(WBS!$L104="Deferred",5,1)))),""))</f>
        <v/>
      </c>
      <c r="T104" s="58">
        <f>IF(OR(WBS!$F104="",WBS!$T104=""),"",IF(AND(15&gt;=WBS!$F104,15&lt;=WBS!$T104),IF(WBS!$L104="Done",3,IF(WBS!$L104="Doing",2,IF(WBS!$L104="Blocked",4,IF(WBS!$L104="Deferred",5,1)))),""))</f>
        <v>1</v>
      </c>
      <c r="U104" s="58">
        <f>IF(OR(WBS!$F104="",WBS!$T104=""),"",IF(AND(16&gt;=WBS!$F104,16&lt;=WBS!$T104),IF(WBS!$L104="Done",3,IF(WBS!$L104="Doing",2,IF(WBS!$L104="Blocked",4,IF(WBS!$L104="Deferred",5,1)))),""))</f>
        <v>1</v>
      </c>
      <c r="V104" s="58">
        <f>IF(OR(WBS!$F104="",WBS!$T104=""),"",IF(AND(17&gt;=WBS!$F104,17&lt;=WBS!$T104),IF(WBS!$L104="Done",3,IF(WBS!$L104="Doing",2,IF(WBS!$L104="Blocked",4,IF(WBS!$L104="Deferred",5,1)))),""))</f>
        <v>1</v>
      </c>
      <c r="W104" s="58">
        <f>IF(OR(WBS!$F104="",WBS!$T104=""),"",IF(AND(18&gt;=WBS!$F104,18&lt;=WBS!$T104),IF(WBS!$L104="Done",3,IF(WBS!$L104="Doing",2,IF(WBS!$L104="Blocked",4,IF(WBS!$L104="Deferred",5,1)))),""))</f>
        <v>1</v>
      </c>
      <c r="X104" s="58" t="str">
        <f>IF(OR(WBS!$F104="",WBS!$T104=""),"",IF(AND(19&gt;=WBS!$F104,19&lt;=WBS!$T104),IF(WBS!$L104="Done",3,IF(WBS!$L104="Doing",2,IF(WBS!$L104="Blocked",4,IF(WBS!$L104="Deferred",5,1)))),""))</f>
        <v/>
      </c>
      <c r="Y104" s="58" t="str">
        <f>IF(OR(WBS!$F104="",WBS!$T104=""),"",IF(AND(20&gt;=WBS!$F104,20&lt;=WBS!$T104),IF(WBS!$L104="Done",3,IF(WBS!$L104="Doing",2,IF(WBS!$L104="Blocked",4,IF(WBS!$L104="Deferred",5,1)))),""))</f>
        <v/>
      </c>
      <c r="Z104" s="58" t="str">
        <f>IF(OR(WBS!$F104="",WBS!$T104=""),"",IF(AND(21&gt;=WBS!$F104,21&lt;=WBS!$T104),IF(WBS!$L104="Done",3,IF(WBS!$L104="Doing",2,IF(WBS!$L104="Blocked",4,IF(WBS!$L104="Deferred",5,1)))),""))</f>
        <v/>
      </c>
    </row>
    <row r="105" spans="1:26" x14ac:dyDescent="0.3">
      <c r="A105" s="59" t="str">
        <f>WBS!$A105</f>
        <v>7.1</v>
      </c>
      <c r="B105" s="60" t="str">
        <f>WBS!$C105</f>
        <v xml:space="preserve">    Completeness</v>
      </c>
      <c r="C105" s="61" t="str">
        <f>IF(WBS!$E105="","",WBS!$E105)</f>
        <v/>
      </c>
      <c r="D105" s="62">
        <f>WBS!$J105</f>
        <v>8</v>
      </c>
      <c r="E105" s="63">
        <f>WBS!$M105</f>
        <v>0</v>
      </c>
      <c r="F105" s="58" t="str">
        <f>IF(OR(WBS!$F105="",WBS!$T105=""),"",IF(AND(1&gt;=WBS!$F105,1&lt;=WBS!$T105),IF(WBS!$L105="Done",3,IF(WBS!$L105="Doing",2,IF(WBS!$L105="Blocked",4,IF(WBS!$L105="Deferred",5,1)))),""))</f>
        <v/>
      </c>
      <c r="G105" s="58" t="str">
        <f>IF(OR(WBS!$F105="",WBS!$T105=""),"",IF(AND(2&gt;=WBS!$F105,2&lt;=WBS!$T105),IF(WBS!$L105="Done",3,IF(WBS!$L105="Doing",2,IF(WBS!$L105="Blocked",4,IF(WBS!$L105="Deferred",5,1)))),""))</f>
        <v/>
      </c>
      <c r="H105" s="58" t="str">
        <f>IF(OR(WBS!$F105="",WBS!$T105=""),"",IF(AND(3&gt;=WBS!$F105,3&lt;=WBS!$T105),IF(WBS!$L105="Done",3,IF(WBS!$L105="Doing",2,IF(WBS!$L105="Blocked",4,IF(WBS!$L105="Deferred",5,1)))),""))</f>
        <v/>
      </c>
      <c r="I105" s="58" t="str">
        <f>IF(OR(WBS!$F105="",WBS!$T105=""),"",IF(AND(4&gt;=WBS!$F105,4&lt;=WBS!$T105),IF(WBS!$L105="Done",3,IF(WBS!$L105="Doing",2,IF(WBS!$L105="Blocked",4,IF(WBS!$L105="Deferred",5,1)))),""))</f>
        <v/>
      </c>
      <c r="J105" s="58" t="str">
        <f>IF(OR(WBS!$F105="",WBS!$T105=""),"",IF(AND(5&gt;=WBS!$F105,5&lt;=WBS!$T105),IF(WBS!$L105="Done",3,IF(WBS!$L105="Doing",2,IF(WBS!$L105="Blocked",4,IF(WBS!$L105="Deferred",5,1)))),""))</f>
        <v/>
      </c>
      <c r="K105" s="58" t="str">
        <f>IF(OR(WBS!$F105="",WBS!$T105=""),"",IF(AND(6&gt;=WBS!$F105,6&lt;=WBS!$T105),IF(WBS!$L105="Done",3,IF(WBS!$L105="Doing",2,IF(WBS!$L105="Blocked",4,IF(WBS!$L105="Deferred",5,1)))),""))</f>
        <v/>
      </c>
      <c r="L105" s="58" t="str">
        <f>IF(OR(WBS!$F105="",WBS!$T105=""),"",IF(AND(7&gt;=WBS!$F105,7&lt;=WBS!$T105),IF(WBS!$L105="Done",3,IF(WBS!$L105="Doing",2,IF(WBS!$L105="Blocked",4,IF(WBS!$L105="Deferred",5,1)))),""))</f>
        <v/>
      </c>
      <c r="M105" s="58" t="str">
        <f>IF(OR(WBS!$F105="",WBS!$T105=""),"",IF(AND(8&gt;=WBS!$F105,8&lt;=WBS!$T105),IF(WBS!$L105="Done",3,IF(WBS!$L105="Doing",2,IF(WBS!$L105="Blocked",4,IF(WBS!$L105="Deferred",5,1)))),""))</f>
        <v/>
      </c>
      <c r="N105" s="58" t="str">
        <f>IF(OR(WBS!$F105="",WBS!$T105=""),"",IF(AND(9&gt;=WBS!$F105,9&lt;=WBS!$T105),IF(WBS!$L105="Done",3,IF(WBS!$L105="Doing",2,IF(WBS!$L105="Blocked",4,IF(WBS!$L105="Deferred",5,1)))),""))</f>
        <v/>
      </c>
      <c r="O105" s="58" t="str">
        <f>IF(OR(WBS!$F105="",WBS!$T105=""),"",IF(AND(10&gt;=WBS!$F105,10&lt;=WBS!$T105),IF(WBS!$L105="Done",3,IF(WBS!$L105="Doing",2,IF(WBS!$L105="Blocked",4,IF(WBS!$L105="Deferred",5,1)))),""))</f>
        <v/>
      </c>
      <c r="P105" s="58" t="str">
        <f>IF(OR(WBS!$F105="",WBS!$T105=""),"",IF(AND(11&gt;=WBS!$F105,11&lt;=WBS!$T105),IF(WBS!$L105="Done",3,IF(WBS!$L105="Doing",2,IF(WBS!$L105="Blocked",4,IF(WBS!$L105="Deferred",5,1)))),""))</f>
        <v/>
      </c>
      <c r="Q105" s="58" t="str">
        <f>IF(OR(WBS!$F105="",WBS!$T105=""),"",IF(AND(12&gt;=WBS!$F105,12&lt;=WBS!$T105),IF(WBS!$L105="Done",3,IF(WBS!$L105="Doing",2,IF(WBS!$L105="Blocked",4,IF(WBS!$L105="Deferred",5,1)))),""))</f>
        <v/>
      </c>
      <c r="R105" s="58" t="str">
        <f>IF(OR(WBS!$F105="",WBS!$T105=""),"",IF(AND(13&gt;=WBS!$F105,13&lt;=WBS!$T105),IF(WBS!$L105="Done",3,IF(WBS!$L105="Doing",2,IF(WBS!$L105="Blocked",4,IF(WBS!$L105="Deferred",5,1)))),""))</f>
        <v/>
      </c>
      <c r="S105" s="58" t="str">
        <f>IF(OR(WBS!$F105="",WBS!$T105=""),"",IF(AND(14&gt;=WBS!$F105,14&lt;=WBS!$T105),IF(WBS!$L105="Done",3,IF(WBS!$L105="Doing",2,IF(WBS!$L105="Blocked",4,IF(WBS!$L105="Deferred",5,1)))),""))</f>
        <v/>
      </c>
      <c r="T105" s="58">
        <f>IF(OR(WBS!$F105="",WBS!$T105=""),"",IF(AND(15&gt;=WBS!$F105,15&lt;=WBS!$T105),IF(WBS!$L105="Done",3,IF(WBS!$L105="Doing",2,IF(WBS!$L105="Blocked",4,IF(WBS!$L105="Deferred",5,1)))),""))</f>
        <v>1</v>
      </c>
      <c r="U105" s="58" t="str">
        <f>IF(OR(WBS!$F105="",WBS!$T105=""),"",IF(AND(16&gt;=WBS!$F105,16&lt;=WBS!$T105),IF(WBS!$L105="Done",3,IF(WBS!$L105="Doing",2,IF(WBS!$L105="Blocked",4,IF(WBS!$L105="Deferred",5,1)))),""))</f>
        <v/>
      </c>
      <c r="V105" s="58" t="str">
        <f>IF(OR(WBS!$F105="",WBS!$T105=""),"",IF(AND(17&gt;=WBS!$F105,17&lt;=WBS!$T105),IF(WBS!$L105="Done",3,IF(WBS!$L105="Doing",2,IF(WBS!$L105="Blocked",4,IF(WBS!$L105="Deferred",5,1)))),""))</f>
        <v/>
      </c>
      <c r="W105" s="58" t="str">
        <f>IF(OR(WBS!$F105="",WBS!$T105=""),"",IF(AND(18&gt;=WBS!$F105,18&lt;=WBS!$T105),IF(WBS!$L105="Done",3,IF(WBS!$L105="Doing",2,IF(WBS!$L105="Blocked",4,IF(WBS!$L105="Deferred",5,1)))),""))</f>
        <v/>
      </c>
      <c r="X105" s="58" t="str">
        <f>IF(OR(WBS!$F105="",WBS!$T105=""),"",IF(AND(19&gt;=WBS!$F105,19&lt;=WBS!$T105),IF(WBS!$L105="Done",3,IF(WBS!$L105="Doing",2,IF(WBS!$L105="Blocked",4,IF(WBS!$L105="Deferred",5,1)))),""))</f>
        <v/>
      </c>
      <c r="Y105" s="58" t="str">
        <f>IF(OR(WBS!$F105="",WBS!$T105=""),"",IF(AND(20&gt;=WBS!$F105,20&lt;=WBS!$T105),IF(WBS!$L105="Done",3,IF(WBS!$L105="Doing",2,IF(WBS!$L105="Blocked",4,IF(WBS!$L105="Deferred",5,1)))),""))</f>
        <v/>
      </c>
      <c r="Z105" s="58" t="str">
        <f>IF(OR(WBS!$F105="",WBS!$T105=""),"",IF(AND(21&gt;=WBS!$F105,21&lt;=WBS!$T105),IF(WBS!$L105="Done",3,IF(WBS!$L105="Doing",2,IF(WBS!$L105="Blocked",4,IF(WBS!$L105="Deferred",5,1)))),""))</f>
        <v/>
      </c>
    </row>
    <row r="106" spans="1:26" ht="26.4" x14ac:dyDescent="0.3">
      <c r="A106" s="64" t="str">
        <f>WBS!$A106</f>
        <v>7.1.1</v>
      </c>
      <c r="B106" s="65" t="str">
        <f>WBS!$C106</f>
        <v xml:space="preserve">        Kiosk terminal mode - search, route explore, station info, idle reset</v>
      </c>
      <c r="C106" s="66" t="str">
        <f>IF(WBS!$E106="","",WBS!$E106)</f>
        <v>KIOSK</v>
      </c>
      <c r="D106" s="67">
        <f>WBS!$J106</f>
        <v>3</v>
      </c>
      <c r="E106" s="68">
        <f>WBS!$M106</f>
        <v>0</v>
      </c>
      <c r="F106" s="58" t="str">
        <f>IF(OR(WBS!$F106="",WBS!$T106=""),"",IF(AND(1&gt;=WBS!$F106,1&lt;=WBS!$T106),IF(WBS!$L106="Done",3,IF(WBS!$L106="Doing",2,IF(WBS!$L106="Blocked",4,IF(WBS!$L106="Deferred",5,1)))),""))</f>
        <v/>
      </c>
      <c r="G106" s="58" t="str">
        <f>IF(OR(WBS!$F106="",WBS!$T106=""),"",IF(AND(2&gt;=WBS!$F106,2&lt;=WBS!$T106),IF(WBS!$L106="Done",3,IF(WBS!$L106="Doing",2,IF(WBS!$L106="Blocked",4,IF(WBS!$L106="Deferred",5,1)))),""))</f>
        <v/>
      </c>
      <c r="H106" s="58" t="str">
        <f>IF(OR(WBS!$F106="",WBS!$T106=""),"",IF(AND(3&gt;=WBS!$F106,3&lt;=WBS!$T106),IF(WBS!$L106="Done",3,IF(WBS!$L106="Doing",2,IF(WBS!$L106="Blocked",4,IF(WBS!$L106="Deferred",5,1)))),""))</f>
        <v/>
      </c>
      <c r="I106" s="58" t="str">
        <f>IF(OR(WBS!$F106="",WBS!$T106=""),"",IF(AND(4&gt;=WBS!$F106,4&lt;=WBS!$T106),IF(WBS!$L106="Done",3,IF(WBS!$L106="Doing",2,IF(WBS!$L106="Blocked",4,IF(WBS!$L106="Deferred",5,1)))),""))</f>
        <v/>
      </c>
      <c r="J106" s="58" t="str">
        <f>IF(OR(WBS!$F106="",WBS!$T106=""),"",IF(AND(5&gt;=WBS!$F106,5&lt;=WBS!$T106),IF(WBS!$L106="Done",3,IF(WBS!$L106="Doing",2,IF(WBS!$L106="Blocked",4,IF(WBS!$L106="Deferred",5,1)))),""))</f>
        <v/>
      </c>
      <c r="K106" s="58" t="str">
        <f>IF(OR(WBS!$F106="",WBS!$T106=""),"",IF(AND(6&gt;=WBS!$F106,6&lt;=WBS!$T106),IF(WBS!$L106="Done",3,IF(WBS!$L106="Doing",2,IF(WBS!$L106="Blocked",4,IF(WBS!$L106="Deferred",5,1)))),""))</f>
        <v/>
      </c>
      <c r="L106" s="58" t="str">
        <f>IF(OR(WBS!$F106="",WBS!$T106=""),"",IF(AND(7&gt;=WBS!$F106,7&lt;=WBS!$T106),IF(WBS!$L106="Done",3,IF(WBS!$L106="Doing",2,IF(WBS!$L106="Blocked",4,IF(WBS!$L106="Deferred",5,1)))),""))</f>
        <v/>
      </c>
      <c r="M106" s="58" t="str">
        <f>IF(OR(WBS!$F106="",WBS!$T106=""),"",IF(AND(8&gt;=WBS!$F106,8&lt;=WBS!$T106),IF(WBS!$L106="Done",3,IF(WBS!$L106="Doing",2,IF(WBS!$L106="Blocked",4,IF(WBS!$L106="Deferred",5,1)))),""))</f>
        <v/>
      </c>
      <c r="N106" s="58" t="str">
        <f>IF(OR(WBS!$F106="",WBS!$T106=""),"",IF(AND(9&gt;=WBS!$F106,9&lt;=WBS!$T106),IF(WBS!$L106="Done",3,IF(WBS!$L106="Doing",2,IF(WBS!$L106="Blocked",4,IF(WBS!$L106="Deferred",5,1)))),""))</f>
        <v/>
      </c>
      <c r="O106" s="58" t="str">
        <f>IF(OR(WBS!$F106="",WBS!$T106=""),"",IF(AND(10&gt;=WBS!$F106,10&lt;=WBS!$T106),IF(WBS!$L106="Done",3,IF(WBS!$L106="Doing",2,IF(WBS!$L106="Blocked",4,IF(WBS!$L106="Deferred",5,1)))),""))</f>
        <v/>
      </c>
      <c r="P106" s="58" t="str">
        <f>IF(OR(WBS!$F106="",WBS!$T106=""),"",IF(AND(11&gt;=WBS!$F106,11&lt;=WBS!$T106),IF(WBS!$L106="Done",3,IF(WBS!$L106="Doing",2,IF(WBS!$L106="Blocked",4,IF(WBS!$L106="Deferred",5,1)))),""))</f>
        <v/>
      </c>
      <c r="Q106" s="58" t="str">
        <f>IF(OR(WBS!$F106="",WBS!$T106=""),"",IF(AND(12&gt;=WBS!$F106,12&lt;=WBS!$T106),IF(WBS!$L106="Done",3,IF(WBS!$L106="Doing",2,IF(WBS!$L106="Blocked",4,IF(WBS!$L106="Deferred",5,1)))),""))</f>
        <v/>
      </c>
      <c r="R106" s="58" t="str">
        <f>IF(OR(WBS!$F106="",WBS!$T106=""),"",IF(AND(13&gt;=WBS!$F106,13&lt;=WBS!$T106),IF(WBS!$L106="Done",3,IF(WBS!$L106="Doing",2,IF(WBS!$L106="Blocked",4,IF(WBS!$L106="Deferred",5,1)))),""))</f>
        <v/>
      </c>
      <c r="S106" s="58" t="str">
        <f>IF(OR(WBS!$F106="",WBS!$T106=""),"",IF(AND(14&gt;=WBS!$F106,14&lt;=WBS!$T106),IF(WBS!$L106="Done",3,IF(WBS!$L106="Doing",2,IF(WBS!$L106="Blocked",4,IF(WBS!$L106="Deferred",5,1)))),""))</f>
        <v/>
      </c>
      <c r="T106" s="58">
        <f>IF(OR(WBS!$F106="",WBS!$T106=""),"",IF(AND(15&gt;=WBS!$F106,15&lt;=WBS!$T106),IF(WBS!$L106="Done",3,IF(WBS!$L106="Doing",2,IF(WBS!$L106="Blocked",4,IF(WBS!$L106="Deferred",5,1)))),""))</f>
        <v>1</v>
      </c>
      <c r="U106" s="58" t="str">
        <f>IF(OR(WBS!$F106="",WBS!$T106=""),"",IF(AND(16&gt;=WBS!$F106,16&lt;=WBS!$T106),IF(WBS!$L106="Done",3,IF(WBS!$L106="Doing",2,IF(WBS!$L106="Blocked",4,IF(WBS!$L106="Deferred",5,1)))),""))</f>
        <v/>
      </c>
      <c r="V106" s="58" t="str">
        <f>IF(OR(WBS!$F106="",WBS!$T106=""),"",IF(AND(17&gt;=WBS!$F106,17&lt;=WBS!$T106),IF(WBS!$L106="Done",3,IF(WBS!$L106="Doing",2,IF(WBS!$L106="Blocked",4,IF(WBS!$L106="Deferred",5,1)))),""))</f>
        <v/>
      </c>
      <c r="W106" s="58" t="str">
        <f>IF(OR(WBS!$F106="",WBS!$T106=""),"",IF(AND(18&gt;=WBS!$F106,18&lt;=WBS!$T106),IF(WBS!$L106="Done",3,IF(WBS!$L106="Doing",2,IF(WBS!$L106="Blocked",4,IF(WBS!$L106="Deferred",5,1)))),""))</f>
        <v/>
      </c>
      <c r="X106" s="58" t="str">
        <f>IF(OR(WBS!$F106="",WBS!$T106=""),"",IF(AND(19&gt;=WBS!$F106,19&lt;=WBS!$T106),IF(WBS!$L106="Done",3,IF(WBS!$L106="Doing",2,IF(WBS!$L106="Blocked",4,IF(WBS!$L106="Deferred",5,1)))),""))</f>
        <v/>
      </c>
      <c r="Y106" s="58" t="str">
        <f>IF(OR(WBS!$F106="",WBS!$T106=""),"",IF(AND(20&gt;=WBS!$F106,20&lt;=WBS!$T106),IF(WBS!$L106="Done",3,IF(WBS!$L106="Doing",2,IF(WBS!$L106="Blocked",4,IF(WBS!$L106="Deferred",5,1)))),""))</f>
        <v/>
      </c>
      <c r="Z106" s="58" t="str">
        <f>IF(OR(WBS!$F106="",WBS!$T106=""),"",IF(AND(21&gt;=WBS!$F106,21&lt;=WBS!$T106),IF(WBS!$L106="Done",3,IF(WBS!$L106="Doing",2,IF(WBS!$L106="Blocked",4,IF(WBS!$L106="Deferred",5,1)))),""))</f>
        <v/>
      </c>
    </row>
    <row r="107" spans="1:26" ht="26.4" x14ac:dyDescent="0.3">
      <c r="A107" s="64" t="str">
        <f>WBS!$A107</f>
        <v>7.1.2</v>
      </c>
      <c r="B107" s="65" t="str">
        <f>WBS!$C107</f>
        <v xml:space="preserve">        Empty, loading, stale, error and offline states across all 19 screens</v>
      </c>
      <c r="C107" s="66" t="str">
        <f>IF(WBS!$E107="","",WBS!$E107)</f>
        <v>UX</v>
      </c>
      <c r="D107" s="67">
        <f>WBS!$J107</f>
        <v>2.5</v>
      </c>
      <c r="E107" s="68">
        <f>WBS!$M107</f>
        <v>0</v>
      </c>
      <c r="F107" s="58" t="str">
        <f>IF(OR(WBS!$F107="",WBS!$T107=""),"",IF(AND(1&gt;=WBS!$F107,1&lt;=WBS!$T107),IF(WBS!$L107="Done",3,IF(WBS!$L107="Doing",2,IF(WBS!$L107="Blocked",4,IF(WBS!$L107="Deferred",5,1)))),""))</f>
        <v/>
      </c>
      <c r="G107" s="58" t="str">
        <f>IF(OR(WBS!$F107="",WBS!$T107=""),"",IF(AND(2&gt;=WBS!$F107,2&lt;=WBS!$T107),IF(WBS!$L107="Done",3,IF(WBS!$L107="Doing",2,IF(WBS!$L107="Blocked",4,IF(WBS!$L107="Deferred",5,1)))),""))</f>
        <v/>
      </c>
      <c r="H107" s="58" t="str">
        <f>IF(OR(WBS!$F107="",WBS!$T107=""),"",IF(AND(3&gt;=WBS!$F107,3&lt;=WBS!$T107),IF(WBS!$L107="Done",3,IF(WBS!$L107="Doing",2,IF(WBS!$L107="Blocked",4,IF(WBS!$L107="Deferred",5,1)))),""))</f>
        <v/>
      </c>
      <c r="I107" s="58" t="str">
        <f>IF(OR(WBS!$F107="",WBS!$T107=""),"",IF(AND(4&gt;=WBS!$F107,4&lt;=WBS!$T107),IF(WBS!$L107="Done",3,IF(WBS!$L107="Doing",2,IF(WBS!$L107="Blocked",4,IF(WBS!$L107="Deferred",5,1)))),""))</f>
        <v/>
      </c>
      <c r="J107" s="58" t="str">
        <f>IF(OR(WBS!$F107="",WBS!$T107=""),"",IF(AND(5&gt;=WBS!$F107,5&lt;=WBS!$T107),IF(WBS!$L107="Done",3,IF(WBS!$L107="Doing",2,IF(WBS!$L107="Blocked",4,IF(WBS!$L107="Deferred",5,1)))),""))</f>
        <v/>
      </c>
      <c r="K107" s="58" t="str">
        <f>IF(OR(WBS!$F107="",WBS!$T107=""),"",IF(AND(6&gt;=WBS!$F107,6&lt;=WBS!$T107),IF(WBS!$L107="Done",3,IF(WBS!$L107="Doing",2,IF(WBS!$L107="Blocked",4,IF(WBS!$L107="Deferred",5,1)))),""))</f>
        <v/>
      </c>
      <c r="L107" s="58" t="str">
        <f>IF(OR(WBS!$F107="",WBS!$T107=""),"",IF(AND(7&gt;=WBS!$F107,7&lt;=WBS!$T107),IF(WBS!$L107="Done",3,IF(WBS!$L107="Doing",2,IF(WBS!$L107="Blocked",4,IF(WBS!$L107="Deferred",5,1)))),""))</f>
        <v/>
      </c>
      <c r="M107" s="58" t="str">
        <f>IF(OR(WBS!$F107="",WBS!$T107=""),"",IF(AND(8&gt;=WBS!$F107,8&lt;=WBS!$T107),IF(WBS!$L107="Done",3,IF(WBS!$L107="Doing",2,IF(WBS!$L107="Blocked",4,IF(WBS!$L107="Deferred",5,1)))),""))</f>
        <v/>
      </c>
      <c r="N107" s="58" t="str">
        <f>IF(OR(WBS!$F107="",WBS!$T107=""),"",IF(AND(9&gt;=WBS!$F107,9&lt;=WBS!$T107),IF(WBS!$L107="Done",3,IF(WBS!$L107="Doing",2,IF(WBS!$L107="Blocked",4,IF(WBS!$L107="Deferred",5,1)))),""))</f>
        <v/>
      </c>
      <c r="O107" s="58" t="str">
        <f>IF(OR(WBS!$F107="",WBS!$T107=""),"",IF(AND(10&gt;=WBS!$F107,10&lt;=WBS!$T107),IF(WBS!$L107="Done",3,IF(WBS!$L107="Doing",2,IF(WBS!$L107="Blocked",4,IF(WBS!$L107="Deferred",5,1)))),""))</f>
        <v/>
      </c>
      <c r="P107" s="58" t="str">
        <f>IF(OR(WBS!$F107="",WBS!$T107=""),"",IF(AND(11&gt;=WBS!$F107,11&lt;=WBS!$T107),IF(WBS!$L107="Done",3,IF(WBS!$L107="Doing",2,IF(WBS!$L107="Blocked",4,IF(WBS!$L107="Deferred",5,1)))),""))</f>
        <v/>
      </c>
      <c r="Q107" s="58" t="str">
        <f>IF(OR(WBS!$F107="",WBS!$T107=""),"",IF(AND(12&gt;=WBS!$F107,12&lt;=WBS!$T107),IF(WBS!$L107="Done",3,IF(WBS!$L107="Doing",2,IF(WBS!$L107="Blocked",4,IF(WBS!$L107="Deferred",5,1)))),""))</f>
        <v/>
      </c>
      <c r="R107" s="58" t="str">
        <f>IF(OR(WBS!$F107="",WBS!$T107=""),"",IF(AND(13&gt;=WBS!$F107,13&lt;=WBS!$T107),IF(WBS!$L107="Done",3,IF(WBS!$L107="Doing",2,IF(WBS!$L107="Blocked",4,IF(WBS!$L107="Deferred",5,1)))),""))</f>
        <v/>
      </c>
      <c r="S107" s="58" t="str">
        <f>IF(OR(WBS!$F107="",WBS!$T107=""),"",IF(AND(14&gt;=WBS!$F107,14&lt;=WBS!$T107),IF(WBS!$L107="Done",3,IF(WBS!$L107="Doing",2,IF(WBS!$L107="Blocked",4,IF(WBS!$L107="Deferred",5,1)))),""))</f>
        <v/>
      </c>
      <c r="T107" s="58">
        <f>IF(OR(WBS!$F107="",WBS!$T107=""),"",IF(AND(15&gt;=WBS!$F107,15&lt;=WBS!$T107),IF(WBS!$L107="Done",3,IF(WBS!$L107="Doing",2,IF(WBS!$L107="Blocked",4,IF(WBS!$L107="Deferred",5,1)))),""))</f>
        <v>1</v>
      </c>
      <c r="U107" s="58" t="str">
        <f>IF(OR(WBS!$F107="",WBS!$T107=""),"",IF(AND(16&gt;=WBS!$F107,16&lt;=WBS!$T107),IF(WBS!$L107="Done",3,IF(WBS!$L107="Doing",2,IF(WBS!$L107="Blocked",4,IF(WBS!$L107="Deferred",5,1)))),""))</f>
        <v/>
      </c>
      <c r="V107" s="58" t="str">
        <f>IF(OR(WBS!$F107="",WBS!$T107=""),"",IF(AND(17&gt;=WBS!$F107,17&lt;=WBS!$T107),IF(WBS!$L107="Done",3,IF(WBS!$L107="Doing",2,IF(WBS!$L107="Blocked",4,IF(WBS!$L107="Deferred",5,1)))),""))</f>
        <v/>
      </c>
      <c r="W107" s="58" t="str">
        <f>IF(OR(WBS!$F107="",WBS!$T107=""),"",IF(AND(18&gt;=WBS!$F107,18&lt;=WBS!$T107),IF(WBS!$L107="Done",3,IF(WBS!$L107="Doing",2,IF(WBS!$L107="Blocked",4,IF(WBS!$L107="Deferred",5,1)))),""))</f>
        <v/>
      </c>
      <c r="X107" s="58" t="str">
        <f>IF(OR(WBS!$F107="",WBS!$T107=""),"",IF(AND(19&gt;=WBS!$F107,19&lt;=WBS!$T107),IF(WBS!$L107="Done",3,IF(WBS!$L107="Doing",2,IF(WBS!$L107="Blocked",4,IF(WBS!$L107="Deferred",5,1)))),""))</f>
        <v/>
      </c>
      <c r="Y107" s="58" t="str">
        <f>IF(OR(WBS!$F107="",WBS!$T107=""),"",IF(AND(20&gt;=WBS!$F107,20&lt;=WBS!$T107),IF(WBS!$L107="Done",3,IF(WBS!$L107="Doing",2,IF(WBS!$L107="Blocked",4,IF(WBS!$L107="Deferred",5,1)))),""))</f>
        <v/>
      </c>
      <c r="Z107" s="58" t="str">
        <f>IF(OR(WBS!$F107="",WBS!$T107=""),"",IF(AND(21&gt;=WBS!$F107,21&lt;=WBS!$T107),IF(WBS!$L107="Done",3,IF(WBS!$L107="Doing",2,IF(WBS!$L107="Blocked",4,IF(WBS!$L107="Deferred",5,1)))),""))</f>
        <v/>
      </c>
    </row>
    <row r="108" spans="1:26" x14ac:dyDescent="0.3">
      <c r="A108" s="64" t="str">
        <f>WBS!$A108</f>
        <v>7.1.3</v>
      </c>
      <c r="B108" s="65" t="str">
        <f>WBS!$C108</f>
        <v xml:space="preserve">        Nightly order state reconciliation job</v>
      </c>
      <c r="C108" s="66" t="str">
        <f>IF(WBS!$E108="","",WBS!$E108)</f>
        <v>INT</v>
      </c>
      <c r="D108" s="67">
        <f>WBS!$J108</f>
        <v>1.5</v>
      </c>
      <c r="E108" s="68">
        <f>WBS!$M108</f>
        <v>0</v>
      </c>
      <c r="F108" s="58" t="str">
        <f>IF(OR(WBS!$F108="",WBS!$T108=""),"",IF(AND(1&gt;=WBS!$F108,1&lt;=WBS!$T108),IF(WBS!$L108="Done",3,IF(WBS!$L108="Doing",2,IF(WBS!$L108="Blocked",4,IF(WBS!$L108="Deferred",5,1)))),""))</f>
        <v/>
      </c>
      <c r="G108" s="58" t="str">
        <f>IF(OR(WBS!$F108="",WBS!$T108=""),"",IF(AND(2&gt;=WBS!$F108,2&lt;=WBS!$T108),IF(WBS!$L108="Done",3,IF(WBS!$L108="Doing",2,IF(WBS!$L108="Blocked",4,IF(WBS!$L108="Deferred",5,1)))),""))</f>
        <v/>
      </c>
      <c r="H108" s="58" t="str">
        <f>IF(OR(WBS!$F108="",WBS!$T108=""),"",IF(AND(3&gt;=WBS!$F108,3&lt;=WBS!$T108),IF(WBS!$L108="Done",3,IF(WBS!$L108="Doing",2,IF(WBS!$L108="Blocked",4,IF(WBS!$L108="Deferred",5,1)))),""))</f>
        <v/>
      </c>
      <c r="I108" s="58" t="str">
        <f>IF(OR(WBS!$F108="",WBS!$T108=""),"",IF(AND(4&gt;=WBS!$F108,4&lt;=WBS!$T108),IF(WBS!$L108="Done",3,IF(WBS!$L108="Doing",2,IF(WBS!$L108="Blocked",4,IF(WBS!$L108="Deferred",5,1)))),""))</f>
        <v/>
      </c>
      <c r="J108" s="58" t="str">
        <f>IF(OR(WBS!$F108="",WBS!$T108=""),"",IF(AND(5&gt;=WBS!$F108,5&lt;=WBS!$T108),IF(WBS!$L108="Done",3,IF(WBS!$L108="Doing",2,IF(WBS!$L108="Blocked",4,IF(WBS!$L108="Deferred",5,1)))),""))</f>
        <v/>
      </c>
      <c r="K108" s="58" t="str">
        <f>IF(OR(WBS!$F108="",WBS!$T108=""),"",IF(AND(6&gt;=WBS!$F108,6&lt;=WBS!$T108),IF(WBS!$L108="Done",3,IF(WBS!$L108="Doing",2,IF(WBS!$L108="Blocked",4,IF(WBS!$L108="Deferred",5,1)))),""))</f>
        <v/>
      </c>
      <c r="L108" s="58" t="str">
        <f>IF(OR(WBS!$F108="",WBS!$T108=""),"",IF(AND(7&gt;=WBS!$F108,7&lt;=WBS!$T108),IF(WBS!$L108="Done",3,IF(WBS!$L108="Doing",2,IF(WBS!$L108="Blocked",4,IF(WBS!$L108="Deferred",5,1)))),""))</f>
        <v/>
      </c>
      <c r="M108" s="58" t="str">
        <f>IF(OR(WBS!$F108="",WBS!$T108=""),"",IF(AND(8&gt;=WBS!$F108,8&lt;=WBS!$T108),IF(WBS!$L108="Done",3,IF(WBS!$L108="Doing",2,IF(WBS!$L108="Blocked",4,IF(WBS!$L108="Deferred",5,1)))),""))</f>
        <v/>
      </c>
      <c r="N108" s="58" t="str">
        <f>IF(OR(WBS!$F108="",WBS!$T108=""),"",IF(AND(9&gt;=WBS!$F108,9&lt;=WBS!$T108),IF(WBS!$L108="Done",3,IF(WBS!$L108="Doing",2,IF(WBS!$L108="Blocked",4,IF(WBS!$L108="Deferred",5,1)))),""))</f>
        <v/>
      </c>
      <c r="O108" s="58" t="str">
        <f>IF(OR(WBS!$F108="",WBS!$T108=""),"",IF(AND(10&gt;=WBS!$F108,10&lt;=WBS!$T108),IF(WBS!$L108="Done",3,IF(WBS!$L108="Doing",2,IF(WBS!$L108="Blocked",4,IF(WBS!$L108="Deferred",5,1)))),""))</f>
        <v/>
      </c>
      <c r="P108" s="58" t="str">
        <f>IF(OR(WBS!$F108="",WBS!$T108=""),"",IF(AND(11&gt;=WBS!$F108,11&lt;=WBS!$T108),IF(WBS!$L108="Done",3,IF(WBS!$L108="Doing",2,IF(WBS!$L108="Blocked",4,IF(WBS!$L108="Deferred",5,1)))),""))</f>
        <v/>
      </c>
      <c r="Q108" s="58" t="str">
        <f>IF(OR(WBS!$F108="",WBS!$T108=""),"",IF(AND(12&gt;=WBS!$F108,12&lt;=WBS!$T108),IF(WBS!$L108="Done",3,IF(WBS!$L108="Doing",2,IF(WBS!$L108="Blocked",4,IF(WBS!$L108="Deferred",5,1)))),""))</f>
        <v/>
      </c>
      <c r="R108" s="58" t="str">
        <f>IF(OR(WBS!$F108="",WBS!$T108=""),"",IF(AND(13&gt;=WBS!$F108,13&lt;=WBS!$T108),IF(WBS!$L108="Done",3,IF(WBS!$L108="Doing",2,IF(WBS!$L108="Blocked",4,IF(WBS!$L108="Deferred",5,1)))),""))</f>
        <v/>
      </c>
      <c r="S108" s="58" t="str">
        <f>IF(OR(WBS!$F108="",WBS!$T108=""),"",IF(AND(14&gt;=WBS!$F108,14&lt;=WBS!$T108),IF(WBS!$L108="Done",3,IF(WBS!$L108="Doing",2,IF(WBS!$L108="Blocked",4,IF(WBS!$L108="Deferred",5,1)))),""))</f>
        <v/>
      </c>
      <c r="T108" s="58">
        <f>IF(OR(WBS!$F108="",WBS!$T108=""),"",IF(AND(15&gt;=WBS!$F108,15&lt;=WBS!$T108),IF(WBS!$L108="Done",3,IF(WBS!$L108="Doing",2,IF(WBS!$L108="Blocked",4,IF(WBS!$L108="Deferred",5,1)))),""))</f>
        <v>1</v>
      </c>
      <c r="U108" s="58" t="str">
        <f>IF(OR(WBS!$F108="",WBS!$T108=""),"",IF(AND(16&gt;=WBS!$F108,16&lt;=WBS!$T108),IF(WBS!$L108="Done",3,IF(WBS!$L108="Doing",2,IF(WBS!$L108="Blocked",4,IF(WBS!$L108="Deferred",5,1)))),""))</f>
        <v/>
      </c>
      <c r="V108" s="58" t="str">
        <f>IF(OR(WBS!$F108="",WBS!$T108=""),"",IF(AND(17&gt;=WBS!$F108,17&lt;=WBS!$T108),IF(WBS!$L108="Done",3,IF(WBS!$L108="Doing",2,IF(WBS!$L108="Blocked",4,IF(WBS!$L108="Deferred",5,1)))),""))</f>
        <v/>
      </c>
      <c r="W108" s="58" t="str">
        <f>IF(OR(WBS!$F108="",WBS!$T108=""),"",IF(AND(18&gt;=WBS!$F108,18&lt;=WBS!$T108),IF(WBS!$L108="Done",3,IF(WBS!$L108="Doing",2,IF(WBS!$L108="Blocked",4,IF(WBS!$L108="Deferred",5,1)))),""))</f>
        <v/>
      </c>
      <c r="X108" s="58" t="str">
        <f>IF(OR(WBS!$F108="",WBS!$T108=""),"",IF(AND(19&gt;=WBS!$F108,19&lt;=WBS!$T108),IF(WBS!$L108="Done",3,IF(WBS!$L108="Doing",2,IF(WBS!$L108="Blocked",4,IF(WBS!$L108="Deferred",5,1)))),""))</f>
        <v/>
      </c>
      <c r="Y108" s="58" t="str">
        <f>IF(OR(WBS!$F108="",WBS!$T108=""),"",IF(AND(20&gt;=WBS!$F108,20&lt;=WBS!$T108),IF(WBS!$L108="Done",3,IF(WBS!$L108="Doing",2,IF(WBS!$L108="Blocked",4,IF(WBS!$L108="Deferred",5,1)))),""))</f>
        <v/>
      </c>
      <c r="Z108" s="58" t="str">
        <f>IF(OR(WBS!$F108="",WBS!$T108=""),"",IF(AND(21&gt;=WBS!$F108,21&lt;=WBS!$T108),IF(WBS!$L108="Done",3,IF(WBS!$L108="Doing",2,IF(WBS!$L108="Blocked",4,IF(WBS!$L108="Deferred",5,1)))),""))</f>
        <v/>
      </c>
    </row>
    <row r="109" spans="1:26" ht="26.4" x14ac:dyDescent="0.3">
      <c r="A109" s="64" t="str">
        <f>WBS!$A109</f>
        <v>7.1.4</v>
      </c>
      <c r="B109" s="65" t="str">
        <f>WBS!$C109</f>
        <v xml:space="preserve">        i18n scaffolding and secondary language for passenger and display</v>
      </c>
      <c r="C109" s="66" t="str">
        <f>IF(WBS!$E109="","",WBS!$E109)</f>
        <v>UX</v>
      </c>
      <c r="D109" s="67">
        <f>WBS!$J109</f>
        <v>1</v>
      </c>
      <c r="E109" s="68">
        <f>WBS!$M109</f>
        <v>0</v>
      </c>
      <c r="F109" s="58" t="str">
        <f>IF(OR(WBS!$F109="",WBS!$T109=""),"",IF(AND(1&gt;=WBS!$F109,1&lt;=WBS!$T109),IF(WBS!$L109="Done",3,IF(WBS!$L109="Doing",2,IF(WBS!$L109="Blocked",4,IF(WBS!$L109="Deferred",5,1)))),""))</f>
        <v/>
      </c>
      <c r="G109" s="58" t="str">
        <f>IF(OR(WBS!$F109="",WBS!$T109=""),"",IF(AND(2&gt;=WBS!$F109,2&lt;=WBS!$T109),IF(WBS!$L109="Done",3,IF(WBS!$L109="Doing",2,IF(WBS!$L109="Blocked",4,IF(WBS!$L109="Deferred",5,1)))),""))</f>
        <v/>
      </c>
      <c r="H109" s="58" t="str">
        <f>IF(OR(WBS!$F109="",WBS!$T109=""),"",IF(AND(3&gt;=WBS!$F109,3&lt;=WBS!$T109),IF(WBS!$L109="Done",3,IF(WBS!$L109="Doing",2,IF(WBS!$L109="Blocked",4,IF(WBS!$L109="Deferred",5,1)))),""))</f>
        <v/>
      </c>
      <c r="I109" s="58" t="str">
        <f>IF(OR(WBS!$F109="",WBS!$T109=""),"",IF(AND(4&gt;=WBS!$F109,4&lt;=WBS!$T109),IF(WBS!$L109="Done",3,IF(WBS!$L109="Doing",2,IF(WBS!$L109="Blocked",4,IF(WBS!$L109="Deferred",5,1)))),""))</f>
        <v/>
      </c>
      <c r="J109" s="58" t="str">
        <f>IF(OR(WBS!$F109="",WBS!$T109=""),"",IF(AND(5&gt;=WBS!$F109,5&lt;=WBS!$T109),IF(WBS!$L109="Done",3,IF(WBS!$L109="Doing",2,IF(WBS!$L109="Blocked",4,IF(WBS!$L109="Deferred",5,1)))),""))</f>
        <v/>
      </c>
      <c r="K109" s="58" t="str">
        <f>IF(OR(WBS!$F109="",WBS!$T109=""),"",IF(AND(6&gt;=WBS!$F109,6&lt;=WBS!$T109),IF(WBS!$L109="Done",3,IF(WBS!$L109="Doing",2,IF(WBS!$L109="Blocked",4,IF(WBS!$L109="Deferred",5,1)))),""))</f>
        <v/>
      </c>
      <c r="L109" s="58" t="str">
        <f>IF(OR(WBS!$F109="",WBS!$T109=""),"",IF(AND(7&gt;=WBS!$F109,7&lt;=WBS!$T109),IF(WBS!$L109="Done",3,IF(WBS!$L109="Doing",2,IF(WBS!$L109="Blocked",4,IF(WBS!$L109="Deferred",5,1)))),""))</f>
        <v/>
      </c>
      <c r="M109" s="58" t="str">
        <f>IF(OR(WBS!$F109="",WBS!$T109=""),"",IF(AND(8&gt;=WBS!$F109,8&lt;=WBS!$T109),IF(WBS!$L109="Done",3,IF(WBS!$L109="Doing",2,IF(WBS!$L109="Blocked",4,IF(WBS!$L109="Deferred",5,1)))),""))</f>
        <v/>
      </c>
      <c r="N109" s="58" t="str">
        <f>IF(OR(WBS!$F109="",WBS!$T109=""),"",IF(AND(9&gt;=WBS!$F109,9&lt;=WBS!$T109),IF(WBS!$L109="Done",3,IF(WBS!$L109="Doing",2,IF(WBS!$L109="Blocked",4,IF(WBS!$L109="Deferred",5,1)))),""))</f>
        <v/>
      </c>
      <c r="O109" s="58" t="str">
        <f>IF(OR(WBS!$F109="",WBS!$T109=""),"",IF(AND(10&gt;=WBS!$F109,10&lt;=WBS!$T109),IF(WBS!$L109="Done",3,IF(WBS!$L109="Doing",2,IF(WBS!$L109="Blocked",4,IF(WBS!$L109="Deferred",5,1)))),""))</f>
        <v/>
      </c>
      <c r="P109" s="58" t="str">
        <f>IF(OR(WBS!$F109="",WBS!$T109=""),"",IF(AND(11&gt;=WBS!$F109,11&lt;=WBS!$T109),IF(WBS!$L109="Done",3,IF(WBS!$L109="Doing",2,IF(WBS!$L109="Blocked",4,IF(WBS!$L109="Deferred",5,1)))),""))</f>
        <v/>
      </c>
      <c r="Q109" s="58" t="str">
        <f>IF(OR(WBS!$F109="",WBS!$T109=""),"",IF(AND(12&gt;=WBS!$F109,12&lt;=WBS!$T109),IF(WBS!$L109="Done",3,IF(WBS!$L109="Doing",2,IF(WBS!$L109="Blocked",4,IF(WBS!$L109="Deferred",5,1)))),""))</f>
        <v/>
      </c>
      <c r="R109" s="58" t="str">
        <f>IF(OR(WBS!$F109="",WBS!$T109=""),"",IF(AND(13&gt;=WBS!$F109,13&lt;=WBS!$T109),IF(WBS!$L109="Done",3,IF(WBS!$L109="Doing",2,IF(WBS!$L109="Blocked",4,IF(WBS!$L109="Deferred",5,1)))),""))</f>
        <v/>
      </c>
      <c r="S109" s="58" t="str">
        <f>IF(OR(WBS!$F109="",WBS!$T109=""),"",IF(AND(14&gt;=WBS!$F109,14&lt;=WBS!$T109),IF(WBS!$L109="Done",3,IF(WBS!$L109="Doing",2,IF(WBS!$L109="Blocked",4,IF(WBS!$L109="Deferred",5,1)))),""))</f>
        <v/>
      </c>
      <c r="T109" s="58">
        <f>IF(OR(WBS!$F109="",WBS!$T109=""),"",IF(AND(15&gt;=WBS!$F109,15&lt;=WBS!$T109),IF(WBS!$L109="Done",3,IF(WBS!$L109="Doing",2,IF(WBS!$L109="Blocked",4,IF(WBS!$L109="Deferred",5,1)))),""))</f>
        <v>1</v>
      </c>
      <c r="U109" s="58" t="str">
        <f>IF(OR(WBS!$F109="",WBS!$T109=""),"",IF(AND(16&gt;=WBS!$F109,16&lt;=WBS!$T109),IF(WBS!$L109="Done",3,IF(WBS!$L109="Doing",2,IF(WBS!$L109="Blocked",4,IF(WBS!$L109="Deferred",5,1)))),""))</f>
        <v/>
      </c>
      <c r="V109" s="58" t="str">
        <f>IF(OR(WBS!$F109="",WBS!$T109=""),"",IF(AND(17&gt;=WBS!$F109,17&lt;=WBS!$T109),IF(WBS!$L109="Done",3,IF(WBS!$L109="Doing",2,IF(WBS!$L109="Blocked",4,IF(WBS!$L109="Deferred",5,1)))),""))</f>
        <v/>
      </c>
      <c r="W109" s="58" t="str">
        <f>IF(OR(WBS!$F109="",WBS!$T109=""),"",IF(AND(18&gt;=WBS!$F109,18&lt;=WBS!$T109),IF(WBS!$L109="Done",3,IF(WBS!$L109="Doing",2,IF(WBS!$L109="Blocked",4,IF(WBS!$L109="Deferred",5,1)))),""))</f>
        <v/>
      </c>
      <c r="X109" s="58" t="str">
        <f>IF(OR(WBS!$F109="",WBS!$T109=""),"",IF(AND(19&gt;=WBS!$F109,19&lt;=WBS!$T109),IF(WBS!$L109="Done",3,IF(WBS!$L109="Doing",2,IF(WBS!$L109="Blocked",4,IF(WBS!$L109="Deferred",5,1)))),""))</f>
        <v/>
      </c>
      <c r="Y109" s="58" t="str">
        <f>IF(OR(WBS!$F109="",WBS!$T109=""),"",IF(AND(20&gt;=WBS!$F109,20&lt;=WBS!$T109),IF(WBS!$L109="Done",3,IF(WBS!$L109="Doing",2,IF(WBS!$L109="Blocked",4,IF(WBS!$L109="Deferred",5,1)))),""))</f>
        <v/>
      </c>
      <c r="Z109" s="58" t="str">
        <f>IF(OR(WBS!$F109="",WBS!$T109=""),"",IF(AND(21&gt;=WBS!$F109,21&lt;=WBS!$T109),IF(WBS!$L109="Done",3,IF(WBS!$L109="Doing",2,IF(WBS!$L109="Blocked",4,IF(WBS!$L109="Deferred",5,1)))),""))</f>
        <v/>
      </c>
    </row>
    <row r="110" spans="1:26" x14ac:dyDescent="0.3">
      <c r="A110" s="59" t="str">
        <f>WBS!$A110</f>
        <v>7.2</v>
      </c>
      <c r="B110" s="60" t="str">
        <f>WBS!$C110</f>
        <v xml:space="preserve">    Test automation</v>
      </c>
      <c r="C110" s="61" t="str">
        <f>IF(WBS!$E110="","",WBS!$E110)</f>
        <v/>
      </c>
      <c r="D110" s="62">
        <f>WBS!$J110</f>
        <v>8</v>
      </c>
      <c r="E110" s="63">
        <f>WBS!$M110</f>
        <v>0</v>
      </c>
      <c r="F110" s="58" t="str">
        <f>IF(OR(WBS!$F110="",WBS!$T110=""),"",IF(AND(1&gt;=WBS!$F110,1&lt;=WBS!$T110),IF(WBS!$L110="Done",3,IF(WBS!$L110="Doing",2,IF(WBS!$L110="Blocked",4,IF(WBS!$L110="Deferred",5,1)))),""))</f>
        <v/>
      </c>
      <c r="G110" s="58" t="str">
        <f>IF(OR(WBS!$F110="",WBS!$T110=""),"",IF(AND(2&gt;=WBS!$F110,2&lt;=WBS!$T110),IF(WBS!$L110="Done",3,IF(WBS!$L110="Doing",2,IF(WBS!$L110="Blocked",4,IF(WBS!$L110="Deferred",5,1)))),""))</f>
        <v/>
      </c>
      <c r="H110" s="58" t="str">
        <f>IF(OR(WBS!$F110="",WBS!$T110=""),"",IF(AND(3&gt;=WBS!$F110,3&lt;=WBS!$T110),IF(WBS!$L110="Done",3,IF(WBS!$L110="Doing",2,IF(WBS!$L110="Blocked",4,IF(WBS!$L110="Deferred",5,1)))),""))</f>
        <v/>
      </c>
      <c r="I110" s="58" t="str">
        <f>IF(OR(WBS!$F110="",WBS!$T110=""),"",IF(AND(4&gt;=WBS!$F110,4&lt;=WBS!$T110),IF(WBS!$L110="Done",3,IF(WBS!$L110="Doing",2,IF(WBS!$L110="Blocked",4,IF(WBS!$L110="Deferred",5,1)))),""))</f>
        <v/>
      </c>
      <c r="J110" s="58" t="str">
        <f>IF(OR(WBS!$F110="",WBS!$T110=""),"",IF(AND(5&gt;=WBS!$F110,5&lt;=WBS!$T110),IF(WBS!$L110="Done",3,IF(WBS!$L110="Doing",2,IF(WBS!$L110="Blocked",4,IF(WBS!$L110="Deferred",5,1)))),""))</f>
        <v/>
      </c>
      <c r="K110" s="58" t="str">
        <f>IF(OR(WBS!$F110="",WBS!$T110=""),"",IF(AND(6&gt;=WBS!$F110,6&lt;=WBS!$T110),IF(WBS!$L110="Done",3,IF(WBS!$L110="Doing",2,IF(WBS!$L110="Blocked",4,IF(WBS!$L110="Deferred",5,1)))),""))</f>
        <v/>
      </c>
      <c r="L110" s="58" t="str">
        <f>IF(OR(WBS!$F110="",WBS!$T110=""),"",IF(AND(7&gt;=WBS!$F110,7&lt;=WBS!$T110),IF(WBS!$L110="Done",3,IF(WBS!$L110="Doing",2,IF(WBS!$L110="Blocked",4,IF(WBS!$L110="Deferred",5,1)))),""))</f>
        <v/>
      </c>
      <c r="M110" s="58" t="str">
        <f>IF(OR(WBS!$F110="",WBS!$T110=""),"",IF(AND(8&gt;=WBS!$F110,8&lt;=WBS!$T110),IF(WBS!$L110="Done",3,IF(WBS!$L110="Doing",2,IF(WBS!$L110="Blocked",4,IF(WBS!$L110="Deferred",5,1)))),""))</f>
        <v/>
      </c>
      <c r="N110" s="58" t="str">
        <f>IF(OR(WBS!$F110="",WBS!$T110=""),"",IF(AND(9&gt;=WBS!$F110,9&lt;=WBS!$T110),IF(WBS!$L110="Done",3,IF(WBS!$L110="Doing",2,IF(WBS!$L110="Blocked",4,IF(WBS!$L110="Deferred",5,1)))),""))</f>
        <v/>
      </c>
      <c r="O110" s="58" t="str">
        <f>IF(OR(WBS!$F110="",WBS!$T110=""),"",IF(AND(10&gt;=WBS!$F110,10&lt;=WBS!$T110),IF(WBS!$L110="Done",3,IF(WBS!$L110="Doing",2,IF(WBS!$L110="Blocked",4,IF(WBS!$L110="Deferred",5,1)))),""))</f>
        <v/>
      </c>
      <c r="P110" s="58" t="str">
        <f>IF(OR(WBS!$F110="",WBS!$T110=""),"",IF(AND(11&gt;=WBS!$F110,11&lt;=WBS!$T110),IF(WBS!$L110="Done",3,IF(WBS!$L110="Doing",2,IF(WBS!$L110="Blocked",4,IF(WBS!$L110="Deferred",5,1)))),""))</f>
        <v/>
      </c>
      <c r="Q110" s="58" t="str">
        <f>IF(OR(WBS!$F110="",WBS!$T110=""),"",IF(AND(12&gt;=WBS!$F110,12&lt;=WBS!$T110),IF(WBS!$L110="Done",3,IF(WBS!$L110="Doing",2,IF(WBS!$L110="Blocked",4,IF(WBS!$L110="Deferred",5,1)))),""))</f>
        <v/>
      </c>
      <c r="R110" s="58" t="str">
        <f>IF(OR(WBS!$F110="",WBS!$T110=""),"",IF(AND(13&gt;=WBS!$F110,13&lt;=WBS!$T110),IF(WBS!$L110="Done",3,IF(WBS!$L110="Doing",2,IF(WBS!$L110="Blocked",4,IF(WBS!$L110="Deferred",5,1)))),""))</f>
        <v/>
      </c>
      <c r="S110" s="58" t="str">
        <f>IF(OR(WBS!$F110="",WBS!$T110=""),"",IF(AND(14&gt;=WBS!$F110,14&lt;=WBS!$T110),IF(WBS!$L110="Done",3,IF(WBS!$L110="Doing",2,IF(WBS!$L110="Blocked",4,IF(WBS!$L110="Deferred",5,1)))),""))</f>
        <v/>
      </c>
      <c r="T110" s="58" t="str">
        <f>IF(OR(WBS!$F110="",WBS!$T110=""),"",IF(AND(15&gt;=WBS!$F110,15&lt;=WBS!$T110),IF(WBS!$L110="Done",3,IF(WBS!$L110="Doing",2,IF(WBS!$L110="Blocked",4,IF(WBS!$L110="Deferred",5,1)))),""))</f>
        <v/>
      </c>
      <c r="U110" s="58">
        <f>IF(OR(WBS!$F110="",WBS!$T110=""),"",IF(AND(16&gt;=WBS!$F110,16&lt;=WBS!$T110),IF(WBS!$L110="Done",3,IF(WBS!$L110="Doing",2,IF(WBS!$L110="Blocked",4,IF(WBS!$L110="Deferred",5,1)))),""))</f>
        <v>1</v>
      </c>
      <c r="V110" s="58" t="str">
        <f>IF(OR(WBS!$F110="",WBS!$T110=""),"",IF(AND(17&gt;=WBS!$F110,17&lt;=WBS!$T110),IF(WBS!$L110="Done",3,IF(WBS!$L110="Doing",2,IF(WBS!$L110="Blocked",4,IF(WBS!$L110="Deferred",5,1)))),""))</f>
        <v/>
      </c>
      <c r="W110" s="58" t="str">
        <f>IF(OR(WBS!$F110="",WBS!$T110=""),"",IF(AND(18&gt;=WBS!$F110,18&lt;=WBS!$T110),IF(WBS!$L110="Done",3,IF(WBS!$L110="Doing",2,IF(WBS!$L110="Blocked",4,IF(WBS!$L110="Deferred",5,1)))),""))</f>
        <v/>
      </c>
      <c r="X110" s="58" t="str">
        <f>IF(OR(WBS!$F110="",WBS!$T110=""),"",IF(AND(19&gt;=WBS!$F110,19&lt;=WBS!$T110),IF(WBS!$L110="Done",3,IF(WBS!$L110="Doing",2,IF(WBS!$L110="Blocked",4,IF(WBS!$L110="Deferred",5,1)))),""))</f>
        <v/>
      </c>
      <c r="Y110" s="58" t="str">
        <f>IF(OR(WBS!$F110="",WBS!$T110=""),"",IF(AND(20&gt;=WBS!$F110,20&lt;=WBS!$T110),IF(WBS!$L110="Done",3,IF(WBS!$L110="Doing",2,IF(WBS!$L110="Blocked",4,IF(WBS!$L110="Deferred",5,1)))),""))</f>
        <v/>
      </c>
      <c r="Z110" s="58" t="str">
        <f>IF(OR(WBS!$F110="",WBS!$T110=""),"",IF(AND(21&gt;=WBS!$F110,21&lt;=WBS!$T110),IF(WBS!$L110="Done",3,IF(WBS!$L110="Doing",2,IF(WBS!$L110="Blocked",4,IF(WBS!$L110="Deferred",5,1)))),""))</f>
        <v/>
      </c>
    </row>
    <row r="111" spans="1:26" x14ac:dyDescent="0.3">
      <c r="A111" s="64" t="str">
        <f>WBS!$A111</f>
        <v>7.2.1</v>
      </c>
      <c r="B111" s="65" t="str">
        <f>WBS!$C111</f>
        <v xml:space="preserve">        E2E 1 - passenger follows a delayed train end to end</v>
      </c>
      <c r="C111" s="66" t="str">
        <f>IF(WBS!$E111="","",WBS!$E111)</f>
        <v>QA</v>
      </c>
      <c r="D111" s="67">
        <f>WBS!$J111</f>
        <v>1.5</v>
      </c>
      <c r="E111" s="68">
        <f>WBS!$M111</f>
        <v>0</v>
      </c>
      <c r="F111" s="58" t="str">
        <f>IF(OR(WBS!$F111="",WBS!$T111=""),"",IF(AND(1&gt;=WBS!$F111,1&lt;=WBS!$T111),IF(WBS!$L111="Done",3,IF(WBS!$L111="Doing",2,IF(WBS!$L111="Blocked",4,IF(WBS!$L111="Deferred",5,1)))),""))</f>
        <v/>
      </c>
      <c r="G111" s="58" t="str">
        <f>IF(OR(WBS!$F111="",WBS!$T111=""),"",IF(AND(2&gt;=WBS!$F111,2&lt;=WBS!$T111),IF(WBS!$L111="Done",3,IF(WBS!$L111="Doing",2,IF(WBS!$L111="Blocked",4,IF(WBS!$L111="Deferred",5,1)))),""))</f>
        <v/>
      </c>
      <c r="H111" s="58" t="str">
        <f>IF(OR(WBS!$F111="",WBS!$T111=""),"",IF(AND(3&gt;=WBS!$F111,3&lt;=WBS!$T111),IF(WBS!$L111="Done",3,IF(WBS!$L111="Doing",2,IF(WBS!$L111="Blocked",4,IF(WBS!$L111="Deferred",5,1)))),""))</f>
        <v/>
      </c>
      <c r="I111" s="58" t="str">
        <f>IF(OR(WBS!$F111="",WBS!$T111=""),"",IF(AND(4&gt;=WBS!$F111,4&lt;=WBS!$T111),IF(WBS!$L111="Done",3,IF(WBS!$L111="Doing",2,IF(WBS!$L111="Blocked",4,IF(WBS!$L111="Deferred",5,1)))),""))</f>
        <v/>
      </c>
      <c r="J111" s="58" t="str">
        <f>IF(OR(WBS!$F111="",WBS!$T111=""),"",IF(AND(5&gt;=WBS!$F111,5&lt;=WBS!$T111),IF(WBS!$L111="Done",3,IF(WBS!$L111="Doing",2,IF(WBS!$L111="Blocked",4,IF(WBS!$L111="Deferred",5,1)))),""))</f>
        <v/>
      </c>
      <c r="K111" s="58" t="str">
        <f>IF(OR(WBS!$F111="",WBS!$T111=""),"",IF(AND(6&gt;=WBS!$F111,6&lt;=WBS!$T111),IF(WBS!$L111="Done",3,IF(WBS!$L111="Doing",2,IF(WBS!$L111="Blocked",4,IF(WBS!$L111="Deferred",5,1)))),""))</f>
        <v/>
      </c>
      <c r="L111" s="58" t="str">
        <f>IF(OR(WBS!$F111="",WBS!$T111=""),"",IF(AND(7&gt;=WBS!$F111,7&lt;=WBS!$T111),IF(WBS!$L111="Done",3,IF(WBS!$L111="Doing",2,IF(WBS!$L111="Blocked",4,IF(WBS!$L111="Deferred",5,1)))),""))</f>
        <v/>
      </c>
      <c r="M111" s="58" t="str">
        <f>IF(OR(WBS!$F111="",WBS!$T111=""),"",IF(AND(8&gt;=WBS!$F111,8&lt;=WBS!$T111),IF(WBS!$L111="Done",3,IF(WBS!$L111="Doing",2,IF(WBS!$L111="Blocked",4,IF(WBS!$L111="Deferred",5,1)))),""))</f>
        <v/>
      </c>
      <c r="N111" s="58" t="str">
        <f>IF(OR(WBS!$F111="",WBS!$T111=""),"",IF(AND(9&gt;=WBS!$F111,9&lt;=WBS!$T111),IF(WBS!$L111="Done",3,IF(WBS!$L111="Doing",2,IF(WBS!$L111="Blocked",4,IF(WBS!$L111="Deferred",5,1)))),""))</f>
        <v/>
      </c>
      <c r="O111" s="58" t="str">
        <f>IF(OR(WBS!$F111="",WBS!$T111=""),"",IF(AND(10&gt;=WBS!$F111,10&lt;=WBS!$T111),IF(WBS!$L111="Done",3,IF(WBS!$L111="Doing",2,IF(WBS!$L111="Blocked",4,IF(WBS!$L111="Deferred",5,1)))),""))</f>
        <v/>
      </c>
      <c r="P111" s="58" t="str">
        <f>IF(OR(WBS!$F111="",WBS!$T111=""),"",IF(AND(11&gt;=WBS!$F111,11&lt;=WBS!$T111),IF(WBS!$L111="Done",3,IF(WBS!$L111="Doing",2,IF(WBS!$L111="Blocked",4,IF(WBS!$L111="Deferred",5,1)))),""))</f>
        <v/>
      </c>
      <c r="Q111" s="58" t="str">
        <f>IF(OR(WBS!$F111="",WBS!$T111=""),"",IF(AND(12&gt;=WBS!$F111,12&lt;=WBS!$T111),IF(WBS!$L111="Done",3,IF(WBS!$L111="Doing",2,IF(WBS!$L111="Blocked",4,IF(WBS!$L111="Deferred",5,1)))),""))</f>
        <v/>
      </c>
      <c r="R111" s="58" t="str">
        <f>IF(OR(WBS!$F111="",WBS!$T111=""),"",IF(AND(13&gt;=WBS!$F111,13&lt;=WBS!$T111),IF(WBS!$L111="Done",3,IF(WBS!$L111="Doing",2,IF(WBS!$L111="Blocked",4,IF(WBS!$L111="Deferred",5,1)))),""))</f>
        <v/>
      </c>
      <c r="S111" s="58" t="str">
        <f>IF(OR(WBS!$F111="",WBS!$T111=""),"",IF(AND(14&gt;=WBS!$F111,14&lt;=WBS!$T111),IF(WBS!$L111="Done",3,IF(WBS!$L111="Doing",2,IF(WBS!$L111="Blocked",4,IF(WBS!$L111="Deferred",5,1)))),""))</f>
        <v/>
      </c>
      <c r="T111" s="58" t="str">
        <f>IF(OR(WBS!$F111="",WBS!$T111=""),"",IF(AND(15&gt;=WBS!$F111,15&lt;=WBS!$T111),IF(WBS!$L111="Done",3,IF(WBS!$L111="Doing",2,IF(WBS!$L111="Blocked",4,IF(WBS!$L111="Deferred",5,1)))),""))</f>
        <v/>
      </c>
      <c r="U111" s="58">
        <f>IF(OR(WBS!$F111="",WBS!$T111=""),"",IF(AND(16&gt;=WBS!$F111,16&lt;=WBS!$T111),IF(WBS!$L111="Done",3,IF(WBS!$L111="Doing",2,IF(WBS!$L111="Blocked",4,IF(WBS!$L111="Deferred",5,1)))),""))</f>
        <v>1</v>
      </c>
      <c r="V111" s="58" t="str">
        <f>IF(OR(WBS!$F111="",WBS!$T111=""),"",IF(AND(17&gt;=WBS!$F111,17&lt;=WBS!$T111),IF(WBS!$L111="Done",3,IF(WBS!$L111="Doing",2,IF(WBS!$L111="Blocked",4,IF(WBS!$L111="Deferred",5,1)))),""))</f>
        <v/>
      </c>
      <c r="W111" s="58" t="str">
        <f>IF(OR(WBS!$F111="",WBS!$T111=""),"",IF(AND(18&gt;=WBS!$F111,18&lt;=WBS!$T111),IF(WBS!$L111="Done",3,IF(WBS!$L111="Doing",2,IF(WBS!$L111="Blocked",4,IF(WBS!$L111="Deferred",5,1)))),""))</f>
        <v/>
      </c>
      <c r="X111" s="58" t="str">
        <f>IF(OR(WBS!$F111="",WBS!$T111=""),"",IF(AND(19&gt;=WBS!$F111,19&lt;=WBS!$T111),IF(WBS!$L111="Done",3,IF(WBS!$L111="Doing",2,IF(WBS!$L111="Blocked",4,IF(WBS!$L111="Deferred",5,1)))),""))</f>
        <v/>
      </c>
      <c r="Y111" s="58" t="str">
        <f>IF(OR(WBS!$F111="",WBS!$T111=""),"",IF(AND(20&gt;=WBS!$F111,20&lt;=WBS!$T111),IF(WBS!$L111="Done",3,IF(WBS!$L111="Doing",2,IF(WBS!$L111="Blocked",4,IF(WBS!$L111="Deferred",5,1)))),""))</f>
        <v/>
      </c>
      <c r="Z111" s="58" t="str">
        <f>IF(OR(WBS!$F111="",WBS!$T111=""),"",IF(AND(21&gt;=WBS!$F111,21&lt;=WBS!$T111),IF(WBS!$L111="Done",3,IF(WBS!$L111="Doing",2,IF(WBS!$L111="Blocked",4,IF(WBS!$L111="Deferred",5,1)))),""))</f>
        <v/>
      </c>
    </row>
    <row r="112" spans="1:26" x14ac:dyDescent="0.3">
      <c r="A112" s="64" t="str">
        <f>WBS!$A112</f>
        <v>7.2.2</v>
      </c>
      <c r="B112" s="65" t="str">
        <f>WBS!$C112</f>
        <v xml:space="preserve">        E2E 2 - driver confirms offline and it reconciles</v>
      </c>
      <c r="C112" s="66" t="str">
        <f>IF(WBS!$E112="","",WBS!$E112)</f>
        <v>QA</v>
      </c>
      <c r="D112" s="67">
        <f>WBS!$J112</f>
        <v>1.5</v>
      </c>
      <c r="E112" s="68">
        <f>WBS!$M112</f>
        <v>0</v>
      </c>
      <c r="F112" s="58" t="str">
        <f>IF(OR(WBS!$F112="",WBS!$T112=""),"",IF(AND(1&gt;=WBS!$F112,1&lt;=WBS!$T112),IF(WBS!$L112="Done",3,IF(WBS!$L112="Doing",2,IF(WBS!$L112="Blocked",4,IF(WBS!$L112="Deferred",5,1)))),""))</f>
        <v/>
      </c>
      <c r="G112" s="58" t="str">
        <f>IF(OR(WBS!$F112="",WBS!$T112=""),"",IF(AND(2&gt;=WBS!$F112,2&lt;=WBS!$T112),IF(WBS!$L112="Done",3,IF(WBS!$L112="Doing",2,IF(WBS!$L112="Blocked",4,IF(WBS!$L112="Deferred",5,1)))),""))</f>
        <v/>
      </c>
      <c r="H112" s="58" t="str">
        <f>IF(OR(WBS!$F112="",WBS!$T112=""),"",IF(AND(3&gt;=WBS!$F112,3&lt;=WBS!$T112),IF(WBS!$L112="Done",3,IF(WBS!$L112="Doing",2,IF(WBS!$L112="Blocked",4,IF(WBS!$L112="Deferred",5,1)))),""))</f>
        <v/>
      </c>
      <c r="I112" s="58" t="str">
        <f>IF(OR(WBS!$F112="",WBS!$T112=""),"",IF(AND(4&gt;=WBS!$F112,4&lt;=WBS!$T112),IF(WBS!$L112="Done",3,IF(WBS!$L112="Doing",2,IF(WBS!$L112="Blocked",4,IF(WBS!$L112="Deferred",5,1)))),""))</f>
        <v/>
      </c>
      <c r="J112" s="58" t="str">
        <f>IF(OR(WBS!$F112="",WBS!$T112=""),"",IF(AND(5&gt;=WBS!$F112,5&lt;=WBS!$T112),IF(WBS!$L112="Done",3,IF(WBS!$L112="Doing",2,IF(WBS!$L112="Blocked",4,IF(WBS!$L112="Deferred",5,1)))),""))</f>
        <v/>
      </c>
      <c r="K112" s="58" t="str">
        <f>IF(OR(WBS!$F112="",WBS!$T112=""),"",IF(AND(6&gt;=WBS!$F112,6&lt;=WBS!$T112),IF(WBS!$L112="Done",3,IF(WBS!$L112="Doing",2,IF(WBS!$L112="Blocked",4,IF(WBS!$L112="Deferred",5,1)))),""))</f>
        <v/>
      </c>
      <c r="L112" s="58" t="str">
        <f>IF(OR(WBS!$F112="",WBS!$T112=""),"",IF(AND(7&gt;=WBS!$F112,7&lt;=WBS!$T112),IF(WBS!$L112="Done",3,IF(WBS!$L112="Doing",2,IF(WBS!$L112="Blocked",4,IF(WBS!$L112="Deferred",5,1)))),""))</f>
        <v/>
      </c>
      <c r="M112" s="58" t="str">
        <f>IF(OR(WBS!$F112="",WBS!$T112=""),"",IF(AND(8&gt;=WBS!$F112,8&lt;=WBS!$T112),IF(WBS!$L112="Done",3,IF(WBS!$L112="Doing",2,IF(WBS!$L112="Blocked",4,IF(WBS!$L112="Deferred",5,1)))),""))</f>
        <v/>
      </c>
      <c r="N112" s="58" t="str">
        <f>IF(OR(WBS!$F112="",WBS!$T112=""),"",IF(AND(9&gt;=WBS!$F112,9&lt;=WBS!$T112),IF(WBS!$L112="Done",3,IF(WBS!$L112="Doing",2,IF(WBS!$L112="Blocked",4,IF(WBS!$L112="Deferred",5,1)))),""))</f>
        <v/>
      </c>
      <c r="O112" s="58" t="str">
        <f>IF(OR(WBS!$F112="",WBS!$T112=""),"",IF(AND(10&gt;=WBS!$F112,10&lt;=WBS!$T112),IF(WBS!$L112="Done",3,IF(WBS!$L112="Doing",2,IF(WBS!$L112="Blocked",4,IF(WBS!$L112="Deferred",5,1)))),""))</f>
        <v/>
      </c>
      <c r="P112" s="58" t="str">
        <f>IF(OR(WBS!$F112="",WBS!$T112=""),"",IF(AND(11&gt;=WBS!$F112,11&lt;=WBS!$T112),IF(WBS!$L112="Done",3,IF(WBS!$L112="Doing",2,IF(WBS!$L112="Blocked",4,IF(WBS!$L112="Deferred",5,1)))),""))</f>
        <v/>
      </c>
      <c r="Q112" s="58" t="str">
        <f>IF(OR(WBS!$F112="",WBS!$T112=""),"",IF(AND(12&gt;=WBS!$F112,12&lt;=WBS!$T112),IF(WBS!$L112="Done",3,IF(WBS!$L112="Doing",2,IF(WBS!$L112="Blocked",4,IF(WBS!$L112="Deferred",5,1)))),""))</f>
        <v/>
      </c>
      <c r="R112" s="58" t="str">
        <f>IF(OR(WBS!$F112="",WBS!$T112=""),"",IF(AND(13&gt;=WBS!$F112,13&lt;=WBS!$T112),IF(WBS!$L112="Done",3,IF(WBS!$L112="Doing",2,IF(WBS!$L112="Blocked",4,IF(WBS!$L112="Deferred",5,1)))),""))</f>
        <v/>
      </c>
      <c r="S112" s="58" t="str">
        <f>IF(OR(WBS!$F112="",WBS!$T112=""),"",IF(AND(14&gt;=WBS!$F112,14&lt;=WBS!$T112),IF(WBS!$L112="Done",3,IF(WBS!$L112="Doing",2,IF(WBS!$L112="Blocked",4,IF(WBS!$L112="Deferred",5,1)))),""))</f>
        <v/>
      </c>
      <c r="T112" s="58" t="str">
        <f>IF(OR(WBS!$F112="",WBS!$T112=""),"",IF(AND(15&gt;=WBS!$F112,15&lt;=WBS!$T112),IF(WBS!$L112="Done",3,IF(WBS!$L112="Doing",2,IF(WBS!$L112="Blocked",4,IF(WBS!$L112="Deferred",5,1)))),""))</f>
        <v/>
      </c>
      <c r="U112" s="58">
        <f>IF(OR(WBS!$F112="",WBS!$T112=""),"",IF(AND(16&gt;=WBS!$F112,16&lt;=WBS!$T112),IF(WBS!$L112="Done",3,IF(WBS!$L112="Doing",2,IF(WBS!$L112="Blocked",4,IF(WBS!$L112="Deferred",5,1)))),""))</f>
        <v>1</v>
      </c>
      <c r="V112" s="58" t="str">
        <f>IF(OR(WBS!$F112="",WBS!$T112=""),"",IF(AND(17&gt;=WBS!$F112,17&lt;=WBS!$T112),IF(WBS!$L112="Done",3,IF(WBS!$L112="Doing",2,IF(WBS!$L112="Blocked",4,IF(WBS!$L112="Deferred",5,1)))),""))</f>
        <v/>
      </c>
      <c r="W112" s="58" t="str">
        <f>IF(OR(WBS!$F112="",WBS!$T112=""),"",IF(AND(18&gt;=WBS!$F112,18&lt;=WBS!$T112),IF(WBS!$L112="Done",3,IF(WBS!$L112="Doing",2,IF(WBS!$L112="Blocked",4,IF(WBS!$L112="Deferred",5,1)))),""))</f>
        <v/>
      </c>
      <c r="X112" s="58" t="str">
        <f>IF(OR(WBS!$F112="",WBS!$T112=""),"",IF(AND(19&gt;=WBS!$F112,19&lt;=WBS!$T112),IF(WBS!$L112="Done",3,IF(WBS!$L112="Doing",2,IF(WBS!$L112="Blocked",4,IF(WBS!$L112="Deferred",5,1)))),""))</f>
        <v/>
      </c>
      <c r="Y112" s="58" t="str">
        <f>IF(OR(WBS!$F112="",WBS!$T112=""),"",IF(AND(20&gt;=WBS!$F112,20&lt;=WBS!$T112),IF(WBS!$L112="Done",3,IF(WBS!$L112="Doing",2,IF(WBS!$L112="Blocked",4,IF(WBS!$L112="Deferred",5,1)))),""))</f>
        <v/>
      </c>
      <c r="Z112" s="58" t="str">
        <f>IF(OR(WBS!$F112="",WBS!$T112=""),"",IF(AND(21&gt;=WBS!$F112,21&lt;=WBS!$T112),IF(WBS!$L112="Done",3,IF(WBS!$L112="Doing",2,IF(WBS!$L112="Blocked",4,IF(WBS!$L112="Deferred",5,1)))),""))</f>
        <v/>
      </c>
    </row>
    <row r="113" spans="1:26" x14ac:dyDescent="0.3">
      <c r="A113" s="64" t="str">
        <f>WBS!$A113</f>
        <v>7.2.3</v>
      </c>
      <c r="B113" s="65" t="str">
        <f>WBS!$C113</f>
        <v xml:space="preserve">        E2E 3 - ops cancels a running journey and it propagates</v>
      </c>
      <c r="C113" s="66" t="str">
        <f>IF(WBS!$E113="","",WBS!$E113)</f>
        <v>QA</v>
      </c>
      <c r="D113" s="67">
        <f>WBS!$J113</f>
        <v>1.5</v>
      </c>
      <c r="E113" s="68">
        <f>WBS!$M113</f>
        <v>0</v>
      </c>
      <c r="F113" s="58" t="str">
        <f>IF(OR(WBS!$F113="",WBS!$T113=""),"",IF(AND(1&gt;=WBS!$F113,1&lt;=WBS!$T113),IF(WBS!$L113="Done",3,IF(WBS!$L113="Doing",2,IF(WBS!$L113="Blocked",4,IF(WBS!$L113="Deferred",5,1)))),""))</f>
        <v/>
      </c>
      <c r="G113" s="58" t="str">
        <f>IF(OR(WBS!$F113="",WBS!$T113=""),"",IF(AND(2&gt;=WBS!$F113,2&lt;=WBS!$T113),IF(WBS!$L113="Done",3,IF(WBS!$L113="Doing",2,IF(WBS!$L113="Blocked",4,IF(WBS!$L113="Deferred",5,1)))),""))</f>
        <v/>
      </c>
      <c r="H113" s="58" t="str">
        <f>IF(OR(WBS!$F113="",WBS!$T113=""),"",IF(AND(3&gt;=WBS!$F113,3&lt;=WBS!$T113),IF(WBS!$L113="Done",3,IF(WBS!$L113="Doing",2,IF(WBS!$L113="Blocked",4,IF(WBS!$L113="Deferred",5,1)))),""))</f>
        <v/>
      </c>
      <c r="I113" s="58" t="str">
        <f>IF(OR(WBS!$F113="",WBS!$T113=""),"",IF(AND(4&gt;=WBS!$F113,4&lt;=WBS!$T113),IF(WBS!$L113="Done",3,IF(WBS!$L113="Doing",2,IF(WBS!$L113="Blocked",4,IF(WBS!$L113="Deferred",5,1)))),""))</f>
        <v/>
      </c>
      <c r="J113" s="58" t="str">
        <f>IF(OR(WBS!$F113="",WBS!$T113=""),"",IF(AND(5&gt;=WBS!$F113,5&lt;=WBS!$T113),IF(WBS!$L113="Done",3,IF(WBS!$L113="Doing",2,IF(WBS!$L113="Blocked",4,IF(WBS!$L113="Deferred",5,1)))),""))</f>
        <v/>
      </c>
      <c r="K113" s="58" t="str">
        <f>IF(OR(WBS!$F113="",WBS!$T113=""),"",IF(AND(6&gt;=WBS!$F113,6&lt;=WBS!$T113),IF(WBS!$L113="Done",3,IF(WBS!$L113="Doing",2,IF(WBS!$L113="Blocked",4,IF(WBS!$L113="Deferred",5,1)))),""))</f>
        <v/>
      </c>
      <c r="L113" s="58" t="str">
        <f>IF(OR(WBS!$F113="",WBS!$T113=""),"",IF(AND(7&gt;=WBS!$F113,7&lt;=WBS!$T113),IF(WBS!$L113="Done",3,IF(WBS!$L113="Doing",2,IF(WBS!$L113="Blocked",4,IF(WBS!$L113="Deferred",5,1)))),""))</f>
        <v/>
      </c>
      <c r="M113" s="58" t="str">
        <f>IF(OR(WBS!$F113="",WBS!$T113=""),"",IF(AND(8&gt;=WBS!$F113,8&lt;=WBS!$T113),IF(WBS!$L113="Done",3,IF(WBS!$L113="Doing",2,IF(WBS!$L113="Blocked",4,IF(WBS!$L113="Deferred",5,1)))),""))</f>
        <v/>
      </c>
      <c r="N113" s="58" t="str">
        <f>IF(OR(WBS!$F113="",WBS!$T113=""),"",IF(AND(9&gt;=WBS!$F113,9&lt;=WBS!$T113),IF(WBS!$L113="Done",3,IF(WBS!$L113="Doing",2,IF(WBS!$L113="Blocked",4,IF(WBS!$L113="Deferred",5,1)))),""))</f>
        <v/>
      </c>
      <c r="O113" s="58" t="str">
        <f>IF(OR(WBS!$F113="",WBS!$T113=""),"",IF(AND(10&gt;=WBS!$F113,10&lt;=WBS!$T113),IF(WBS!$L113="Done",3,IF(WBS!$L113="Doing",2,IF(WBS!$L113="Blocked",4,IF(WBS!$L113="Deferred",5,1)))),""))</f>
        <v/>
      </c>
      <c r="P113" s="58" t="str">
        <f>IF(OR(WBS!$F113="",WBS!$T113=""),"",IF(AND(11&gt;=WBS!$F113,11&lt;=WBS!$T113),IF(WBS!$L113="Done",3,IF(WBS!$L113="Doing",2,IF(WBS!$L113="Blocked",4,IF(WBS!$L113="Deferred",5,1)))),""))</f>
        <v/>
      </c>
      <c r="Q113" s="58" t="str">
        <f>IF(OR(WBS!$F113="",WBS!$T113=""),"",IF(AND(12&gt;=WBS!$F113,12&lt;=WBS!$T113),IF(WBS!$L113="Done",3,IF(WBS!$L113="Doing",2,IF(WBS!$L113="Blocked",4,IF(WBS!$L113="Deferred",5,1)))),""))</f>
        <v/>
      </c>
      <c r="R113" s="58" t="str">
        <f>IF(OR(WBS!$F113="",WBS!$T113=""),"",IF(AND(13&gt;=WBS!$F113,13&lt;=WBS!$T113),IF(WBS!$L113="Done",3,IF(WBS!$L113="Doing",2,IF(WBS!$L113="Blocked",4,IF(WBS!$L113="Deferred",5,1)))),""))</f>
        <v/>
      </c>
      <c r="S113" s="58" t="str">
        <f>IF(OR(WBS!$F113="",WBS!$T113=""),"",IF(AND(14&gt;=WBS!$F113,14&lt;=WBS!$T113),IF(WBS!$L113="Done",3,IF(WBS!$L113="Doing",2,IF(WBS!$L113="Blocked",4,IF(WBS!$L113="Deferred",5,1)))),""))</f>
        <v/>
      </c>
      <c r="T113" s="58" t="str">
        <f>IF(OR(WBS!$F113="",WBS!$T113=""),"",IF(AND(15&gt;=WBS!$F113,15&lt;=WBS!$T113),IF(WBS!$L113="Done",3,IF(WBS!$L113="Doing",2,IF(WBS!$L113="Blocked",4,IF(WBS!$L113="Deferred",5,1)))),""))</f>
        <v/>
      </c>
      <c r="U113" s="58">
        <f>IF(OR(WBS!$F113="",WBS!$T113=""),"",IF(AND(16&gt;=WBS!$F113,16&lt;=WBS!$T113),IF(WBS!$L113="Done",3,IF(WBS!$L113="Doing",2,IF(WBS!$L113="Blocked",4,IF(WBS!$L113="Deferred",5,1)))),""))</f>
        <v>1</v>
      </c>
      <c r="V113" s="58" t="str">
        <f>IF(OR(WBS!$F113="",WBS!$T113=""),"",IF(AND(17&gt;=WBS!$F113,17&lt;=WBS!$T113),IF(WBS!$L113="Done",3,IF(WBS!$L113="Doing",2,IF(WBS!$L113="Blocked",4,IF(WBS!$L113="Deferred",5,1)))),""))</f>
        <v/>
      </c>
      <c r="W113" s="58" t="str">
        <f>IF(OR(WBS!$F113="",WBS!$T113=""),"",IF(AND(18&gt;=WBS!$F113,18&lt;=WBS!$T113),IF(WBS!$L113="Done",3,IF(WBS!$L113="Doing",2,IF(WBS!$L113="Blocked",4,IF(WBS!$L113="Deferred",5,1)))),""))</f>
        <v/>
      </c>
      <c r="X113" s="58" t="str">
        <f>IF(OR(WBS!$F113="",WBS!$T113=""),"",IF(AND(19&gt;=WBS!$F113,19&lt;=WBS!$T113),IF(WBS!$L113="Done",3,IF(WBS!$L113="Doing",2,IF(WBS!$L113="Blocked",4,IF(WBS!$L113="Deferred",5,1)))),""))</f>
        <v/>
      </c>
      <c r="Y113" s="58" t="str">
        <f>IF(OR(WBS!$F113="",WBS!$T113=""),"",IF(AND(20&gt;=WBS!$F113,20&lt;=WBS!$T113),IF(WBS!$L113="Done",3,IF(WBS!$L113="Doing",2,IF(WBS!$L113="Blocked",4,IF(WBS!$L113="Deferred",5,1)))),""))</f>
        <v/>
      </c>
      <c r="Z113" s="58" t="str">
        <f>IF(OR(WBS!$F113="",WBS!$T113=""),"",IF(AND(21&gt;=WBS!$F113,21&lt;=WBS!$T113),IF(WBS!$L113="Done",3,IF(WBS!$L113="Doing",2,IF(WBS!$L113="Blocked",4,IF(WBS!$L113="Deferred",5,1)))),""))</f>
        <v/>
      </c>
    </row>
    <row r="114" spans="1:26" x14ac:dyDescent="0.3">
      <c r="A114" s="64" t="str">
        <f>WBS!$A114</f>
        <v>7.2.4</v>
      </c>
      <c r="B114" s="65" t="str">
        <f>WBS!$C114</f>
        <v xml:space="preserve">        E2E 4 - food order across the external boundary</v>
      </c>
      <c r="C114" s="66" t="str">
        <f>IF(WBS!$E114="","",WBS!$E114)</f>
        <v>QA</v>
      </c>
      <c r="D114" s="67">
        <f>WBS!$J114</f>
        <v>1.5</v>
      </c>
      <c r="E114" s="68">
        <f>WBS!$M114</f>
        <v>0</v>
      </c>
      <c r="F114" s="58" t="str">
        <f>IF(OR(WBS!$F114="",WBS!$T114=""),"",IF(AND(1&gt;=WBS!$F114,1&lt;=WBS!$T114),IF(WBS!$L114="Done",3,IF(WBS!$L114="Doing",2,IF(WBS!$L114="Blocked",4,IF(WBS!$L114="Deferred",5,1)))),""))</f>
        <v/>
      </c>
      <c r="G114" s="58" t="str">
        <f>IF(OR(WBS!$F114="",WBS!$T114=""),"",IF(AND(2&gt;=WBS!$F114,2&lt;=WBS!$T114),IF(WBS!$L114="Done",3,IF(WBS!$L114="Doing",2,IF(WBS!$L114="Blocked",4,IF(WBS!$L114="Deferred",5,1)))),""))</f>
        <v/>
      </c>
      <c r="H114" s="58" t="str">
        <f>IF(OR(WBS!$F114="",WBS!$T114=""),"",IF(AND(3&gt;=WBS!$F114,3&lt;=WBS!$T114),IF(WBS!$L114="Done",3,IF(WBS!$L114="Doing",2,IF(WBS!$L114="Blocked",4,IF(WBS!$L114="Deferred",5,1)))),""))</f>
        <v/>
      </c>
      <c r="I114" s="58" t="str">
        <f>IF(OR(WBS!$F114="",WBS!$T114=""),"",IF(AND(4&gt;=WBS!$F114,4&lt;=WBS!$T114),IF(WBS!$L114="Done",3,IF(WBS!$L114="Doing",2,IF(WBS!$L114="Blocked",4,IF(WBS!$L114="Deferred",5,1)))),""))</f>
        <v/>
      </c>
      <c r="J114" s="58" t="str">
        <f>IF(OR(WBS!$F114="",WBS!$T114=""),"",IF(AND(5&gt;=WBS!$F114,5&lt;=WBS!$T114),IF(WBS!$L114="Done",3,IF(WBS!$L114="Doing",2,IF(WBS!$L114="Blocked",4,IF(WBS!$L114="Deferred",5,1)))),""))</f>
        <v/>
      </c>
      <c r="K114" s="58" t="str">
        <f>IF(OR(WBS!$F114="",WBS!$T114=""),"",IF(AND(6&gt;=WBS!$F114,6&lt;=WBS!$T114),IF(WBS!$L114="Done",3,IF(WBS!$L114="Doing",2,IF(WBS!$L114="Blocked",4,IF(WBS!$L114="Deferred",5,1)))),""))</f>
        <v/>
      </c>
      <c r="L114" s="58" t="str">
        <f>IF(OR(WBS!$F114="",WBS!$T114=""),"",IF(AND(7&gt;=WBS!$F114,7&lt;=WBS!$T114),IF(WBS!$L114="Done",3,IF(WBS!$L114="Doing",2,IF(WBS!$L114="Blocked",4,IF(WBS!$L114="Deferred",5,1)))),""))</f>
        <v/>
      </c>
      <c r="M114" s="58" t="str">
        <f>IF(OR(WBS!$F114="",WBS!$T114=""),"",IF(AND(8&gt;=WBS!$F114,8&lt;=WBS!$T114),IF(WBS!$L114="Done",3,IF(WBS!$L114="Doing",2,IF(WBS!$L114="Blocked",4,IF(WBS!$L114="Deferred",5,1)))),""))</f>
        <v/>
      </c>
      <c r="N114" s="58" t="str">
        <f>IF(OR(WBS!$F114="",WBS!$T114=""),"",IF(AND(9&gt;=WBS!$F114,9&lt;=WBS!$T114),IF(WBS!$L114="Done",3,IF(WBS!$L114="Doing",2,IF(WBS!$L114="Blocked",4,IF(WBS!$L114="Deferred",5,1)))),""))</f>
        <v/>
      </c>
      <c r="O114" s="58" t="str">
        <f>IF(OR(WBS!$F114="",WBS!$T114=""),"",IF(AND(10&gt;=WBS!$F114,10&lt;=WBS!$T114),IF(WBS!$L114="Done",3,IF(WBS!$L114="Doing",2,IF(WBS!$L114="Blocked",4,IF(WBS!$L114="Deferred",5,1)))),""))</f>
        <v/>
      </c>
      <c r="P114" s="58" t="str">
        <f>IF(OR(WBS!$F114="",WBS!$T114=""),"",IF(AND(11&gt;=WBS!$F114,11&lt;=WBS!$T114),IF(WBS!$L114="Done",3,IF(WBS!$L114="Doing",2,IF(WBS!$L114="Blocked",4,IF(WBS!$L114="Deferred",5,1)))),""))</f>
        <v/>
      </c>
      <c r="Q114" s="58" t="str">
        <f>IF(OR(WBS!$F114="",WBS!$T114=""),"",IF(AND(12&gt;=WBS!$F114,12&lt;=WBS!$T114),IF(WBS!$L114="Done",3,IF(WBS!$L114="Doing",2,IF(WBS!$L114="Blocked",4,IF(WBS!$L114="Deferred",5,1)))),""))</f>
        <v/>
      </c>
      <c r="R114" s="58" t="str">
        <f>IF(OR(WBS!$F114="",WBS!$T114=""),"",IF(AND(13&gt;=WBS!$F114,13&lt;=WBS!$T114),IF(WBS!$L114="Done",3,IF(WBS!$L114="Doing",2,IF(WBS!$L114="Blocked",4,IF(WBS!$L114="Deferred",5,1)))),""))</f>
        <v/>
      </c>
      <c r="S114" s="58" t="str">
        <f>IF(OR(WBS!$F114="",WBS!$T114=""),"",IF(AND(14&gt;=WBS!$F114,14&lt;=WBS!$T114),IF(WBS!$L114="Done",3,IF(WBS!$L114="Doing",2,IF(WBS!$L114="Blocked",4,IF(WBS!$L114="Deferred",5,1)))),""))</f>
        <v/>
      </c>
      <c r="T114" s="58" t="str">
        <f>IF(OR(WBS!$F114="",WBS!$T114=""),"",IF(AND(15&gt;=WBS!$F114,15&lt;=WBS!$T114),IF(WBS!$L114="Done",3,IF(WBS!$L114="Doing",2,IF(WBS!$L114="Blocked",4,IF(WBS!$L114="Deferred",5,1)))),""))</f>
        <v/>
      </c>
      <c r="U114" s="58">
        <f>IF(OR(WBS!$F114="",WBS!$T114=""),"",IF(AND(16&gt;=WBS!$F114,16&lt;=WBS!$T114),IF(WBS!$L114="Done",3,IF(WBS!$L114="Doing",2,IF(WBS!$L114="Blocked",4,IF(WBS!$L114="Deferred",5,1)))),""))</f>
        <v>1</v>
      </c>
      <c r="V114" s="58" t="str">
        <f>IF(OR(WBS!$F114="",WBS!$T114=""),"",IF(AND(17&gt;=WBS!$F114,17&lt;=WBS!$T114),IF(WBS!$L114="Done",3,IF(WBS!$L114="Doing",2,IF(WBS!$L114="Blocked",4,IF(WBS!$L114="Deferred",5,1)))),""))</f>
        <v/>
      </c>
      <c r="W114" s="58" t="str">
        <f>IF(OR(WBS!$F114="",WBS!$T114=""),"",IF(AND(18&gt;=WBS!$F114,18&lt;=WBS!$T114),IF(WBS!$L114="Done",3,IF(WBS!$L114="Doing",2,IF(WBS!$L114="Blocked",4,IF(WBS!$L114="Deferred",5,1)))),""))</f>
        <v/>
      </c>
      <c r="X114" s="58" t="str">
        <f>IF(OR(WBS!$F114="",WBS!$T114=""),"",IF(AND(19&gt;=WBS!$F114,19&lt;=WBS!$T114),IF(WBS!$L114="Done",3,IF(WBS!$L114="Doing",2,IF(WBS!$L114="Blocked",4,IF(WBS!$L114="Deferred",5,1)))),""))</f>
        <v/>
      </c>
      <c r="Y114" s="58" t="str">
        <f>IF(OR(WBS!$F114="",WBS!$T114=""),"",IF(AND(20&gt;=WBS!$F114,20&lt;=WBS!$T114),IF(WBS!$L114="Done",3,IF(WBS!$L114="Doing",2,IF(WBS!$L114="Blocked",4,IF(WBS!$L114="Deferred",5,1)))),""))</f>
        <v/>
      </c>
      <c r="Z114" s="58" t="str">
        <f>IF(OR(WBS!$F114="",WBS!$T114=""),"",IF(AND(21&gt;=WBS!$F114,21&lt;=WBS!$T114),IF(WBS!$L114="Done",3,IF(WBS!$L114="Doing",2,IF(WBS!$L114="Blocked",4,IF(WBS!$L114="Deferred",5,1)))),""))</f>
        <v/>
      </c>
    </row>
    <row r="115" spans="1:26" x14ac:dyDescent="0.3">
      <c r="A115" s="64" t="str">
        <f>WBS!$A115</f>
        <v>7.2.5</v>
      </c>
      <c r="B115" s="65" t="str">
        <f>WBS!$C115</f>
        <v xml:space="preserve">        E2E 5 - display survives connectivity loss honestly</v>
      </c>
      <c r="C115" s="66" t="str">
        <f>IF(WBS!$E115="","",WBS!$E115)</f>
        <v>QA</v>
      </c>
      <c r="D115" s="67">
        <f>WBS!$J115</f>
        <v>1</v>
      </c>
      <c r="E115" s="68">
        <f>WBS!$M115</f>
        <v>0</v>
      </c>
      <c r="F115" s="58" t="str">
        <f>IF(OR(WBS!$F115="",WBS!$T115=""),"",IF(AND(1&gt;=WBS!$F115,1&lt;=WBS!$T115),IF(WBS!$L115="Done",3,IF(WBS!$L115="Doing",2,IF(WBS!$L115="Blocked",4,IF(WBS!$L115="Deferred",5,1)))),""))</f>
        <v/>
      </c>
      <c r="G115" s="58" t="str">
        <f>IF(OR(WBS!$F115="",WBS!$T115=""),"",IF(AND(2&gt;=WBS!$F115,2&lt;=WBS!$T115),IF(WBS!$L115="Done",3,IF(WBS!$L115="Doing",2,IF(WBS!$L115="Blocked",4,IF(WBS!$L115="Deferred",5,1)))),""))</f>
        <v/>
      </c>
      <c r="H115" s="58" t="str">
        <f>IF(OR(WBS!$F115="",WBS!$T115=""),"",IF(AND(3&gt;=WBS!$F115,3&lt;=WBS!$T115),IF(WBS!$L115="Done",3,IF(WBS!$L115="Doing",2,IF(WBS!$L115="Blocked",4,IF(WBS!$L115="Deferred",5,1)))),""))</f>
        <v/>
      </c>
      <c r="I115" s="58" t="str">
        <f>IF(OR(WBS!$F115="",WBS!$T115=""),"",IF(AND(4&gt;=WBS!$F115,4&lt;=WBS!$T115),IF(WBS!$L115="Done",3,IF(WBS!$L115="Doing",2,IF(WBS!$L115="Blocked",4,IF(WBS!$L115="Deferred",5,1)))),""))</f>
        <v/>
      </c>
      <c r="J115" s="58" t="str">
        <f>IF(OR(WBS!$F115="",WBS!$T115=""),"",IF(AND(5&gt;=WBS!$F115,5&lt;=WBS!$T115),IF(WBS!$L115="Done",3,IF(WBS!$L115="Doing",2,IF(WBS!$L115="Blocked",4,IF(WBS!$L115="Deferred",5,1)))),""))</f>
        <v/>
      </c>
      <c r="K115" s="58" t="str">
        <f>IF(OR(WBS!$F115="",WBS!$T115=""),"",IF(AND(6&gt;=WBS!$F115,6&lt;=WBS!$T115),IF(WBS!$L115="Done",3,IF(WBS!$L115="Doing",2,IF(WBS!$L115="Blocked",4,IF(WBS!$L115="Deferred",5,1)))),""))</f>
        <v/>
      </c>
      <c r="L115" s="58" t="str">
        <f>IF(OR(WBS!$F115="",WBS!$T115=""),"",IF(AND(7&gt;=WBS!$F115,7&lt;=WBS!$T115),IF(WBS!$L115="Done",3,IF(WBS!$L115="Doing",2,IF(WBS!$L115="Blocked",4,IF(WBS!$L115="Deferred",5,1)))),""))</f>
        <v/>
      </c>
      <c r="M115" s="58" t="str">
        <f>IF(OR(WBS!$F115="",WBS!$T115=""),"",IF(AND(8&gt;=WBS!$F115,8&lt;=WBS!$T115),IF(WBS!$L115="Done",3,IF(WBS!$L115="Doing",2,IF(WBS!$L115="Blocked",4,IF(WBS!$L115="Deferred",5,1)))),""))</f>
        <v/>
      </c>
      <c r="N115" s="58" t="str">
        <f>IF(OR(WBS!$F115="",WBS!$T115=""),"",IF(AND(9&gt;=WBS!$F115,9&lt;=WBS!$T115),IF(WBS!$L115="Done",3,IF(WBS!$L115="Doing",2,IF(WBS!$L115="Blocked",4,IF(WBS!$L115="Deferred",5,1)))),""))</f>
        <v/>
      </c>
      <c r="O115" s="58" t="str">
        <f>IF(OR(WBS!$F115="",WBS!$T115=""),"",IF(AND(10&gt;=WBS!$F115,10&lt;=WBS!$T115),IF(WBS!$L115="Done",3,IF(WBS!$L115="Doing",2,IF(WBS!$L115="Blocked",4,IF(WBS!$L115="Deferred",5,1)))),""))</f>
        <v/>
      </c>
      <c r="P115" s="58" t="str">
        <f>IF(OR(WBS!$F115="",WBS!$T115=""),"",IF(AND(11&gt;=WBS!$F115,11&lt;=WBS!$T115),IF(WBS!$L115="Done",3,IF(WBS!$L115="Doing",2,IF(WBS!$L115="Blocked",4,IF(WBS!$L115="Deferred",5,1)))),""))</f>
        <v/>
      </c>
      <c r="Q115" s="58" t="str">
        <f>IF(OR(WBS!$F115="",WBS!$T115=""),"",IF(AND(12&gt;=WBS!$F115,12&lt;=WBS!$T115),IF(WBS!$L115="Done",3,IF(WBS!$L115="Doing",2,IF(WBS!$L115="Blocked",4,IF(WBS!$L115="Deferred",5,1)))),""))</f>
        <v/>
      </c>
      <c r="R115" s="58" t="str">
        <f>IF(OR(WBS!$F115="",WBS!$T115=""),"",IF(AND(13&gt;=WBS!$F115,13&lt;=WBS!$T115),IF(WBS!$L115="Done",3,IF(WBS!$L115="Doing",2,IF(WBS!$L115="Blocked",4,IF(WBS!$L115="Deferred",5,1)))),""))</f>
        <v/>
      </c>
      <c r="S115" s="58" t="str">
        <f>IF(OR(WBS!$F115="",WBS!$T115=""),"",IF(AND(14&gt;=WBS!$F115,14&lt;=WBS!$T115),IF(WBS!$L115="Done",3,IF(WBS!$L115="Doing",2,IF(WBS!$L115="Blocked",4,IF(WBS!$L115="Deferred",5,1)))),""))</f>
        <v/>
      </c>
      <c r="T115" s="58" t="str">
        <f>IF(OR(WBS!$F115="",WBS!$T115=""),"",IF(AND(15&gt;=WBS!$F115,15&lt;=WBS!$T115),IF(WBS!$L115="Done",3,IF(WBS!$L115="Doing",2,IF(WBS!$L115="Blocked",4,IF(WBS!$L115="Deferred",5,1)))),""))</f>
        <v/>
      </c>
      <c r="U115" s="58">
        <f>IF(OR(WBS!$F115="",WBS!$T115=""),"",IF(AND(16&gt;=WBS!$F115,16&lt;=WBS!$T115),IF(WBS!$L115="Done",3,IF(WBS!$L115="Doing",2,IF(WBS!$L115="Blocked",4,IF(WBS!$L115="Deferred",5,1)))),""))</f>
        <v>1</v>
      </c>
      <c r="V115" s="58" t="str">
        <f>IF(OR(WBS!$F115="",WBS!$T115=""),"",IF(AND(17&gt;=WBS!$F115,17&lt;=WBS!$T115),IF(WBS!$L115="Done",3,IF(WBS!$L115="Doing",2,IF(WBS!$L115="Blocked",4,IF(WBS!$L115="Deferred",5,1)))),""))</f>
        <v/>
      </c>
      <c r="W115" s="58" t="str">
        <f>IF(OR(WBS!$F115="",WBS!$T115=""),"",IF(AND(18&gt;=WBS!$F115,18&lt;=WBS!$T115),IF(WBS!$L115="Done",3,IF(WBS!$L115="Doing",2,IF(WBS!$L115="Blocked",4,IF(WBS!$L115="Deferred",5,1)))),""))</f>
        <v/>
      </c>
      <c r="X115" s="58" t="str">
        <f>IF(OR(WBS!$F115="",WBS!$T115=""),"",IF(AND(19&gt;=WBS!$F115,19&lt;=WBS!$T115),IF(WBS!$L115="Done",3,IF(WBS!$L115="Doing",2,IF(WBS!$L115="Blocked",4,IF(WBS!$L115="Deferred",5,1)))),""))</f>
        <v/>
      </c>
      <c r="Y115" s="58" t="str">
        <f>IF(OR(WBS!$F115="",WBS!$T115=""),"",IF(AND(20&gt;=WBS!$F115,20&lt;=WBS!$T115),IF(WBS!$L115="Done",3,IF(WBS!$L115="Doing",2,IF(WBS!$L115="Blocked",4,IF(WBS!$L115="Deferred",5,1)))),""))</f>
        <v/>
      </c>
      <c r="Z115" s="58" t="str">
        <f>IF(OR(WBS!$F115="",WBS!$T115=""),"",IF(AND(21&gt;=WBS!$F115,21&lt;=WBS!$T115),IF(WBS!$L115="Done",3,IF(WBS!$L115="Doing",2,IF(WBS!$L115="Blocked",4,IF(WBS!$L115="Deferred",5,1)))),""))</f>
        <v/>
      </c>
    </row>
    <row r="116" spans="1:26" x14ac:dyDescent="0.3">
      <c r="A116" s="64" t="str">
        <f>WBS!$A116</f>
        <v>7.2.6</v>
      </c>
      <c r="B116" s="65" t="str">
        <f>WBS!$C116</f>
        <v xml:space="preserve">        Consumer-driven contract tests both directions</v>
      </c>
      <c r="C116" s="66" t="str">
        <f>IF(WBS!$E116="","",WBS!$E116)</f>
        <v>QA</v>
      </c>
      <c r="D116" s="67">
        <f>WBS!$J116</f>
        <v>1</v>
      </c>
      <c r="E116" s="68">
        <f>WBS!$M116</f>
        <v>0</v>
      </c>
      <c r="F116" s="58" t="str">
        <f>IF(OR(WBS!$F116="",WBS!$T116=""),"",IF(AND(1&gt;=WBS!$F116,1&lt;=WBS!$T116),IF(WBS!$L116="Done",3,IF(WBS!$L116="Doing",2,IF(WBS!$L116="Blocked",4,IF(WBS!$L116="Deferred",5,1)))),""))</f>
        <v/>
      </c>
      <c r="G116" s="58" t="str">
        <f>IF(OR(WBS!$F116="",WBS!$T116=""),"",IF(AND(2&gt;=WBS!$F116,2&lt;=WBS!$T116),IF(WBS!$L116="Done",3,IF(WBS!$L116="Doing",2,IF(WBS!$L116="Blocked",4,IF(WBS!$L116="Deferred",5,1)))),""))</f>
        <v/>
      </c>
      <c r="H116" s="58" t="str">
        <f>IF(OR(WBS!$F116="",WBS!$T116=""),"",IF(AND(3&gt;=WBS!$F116,3&lt;=WBS!$T116),IF(WBS!$L116="Done",3,IF(WBS!$L116="Doing",2,IF(WBS!$L116="Blocked",4,IF(WBS!$L116="Deferred",5,1)))),""))</f>
        <v/>
      </c>
      <c r="I116" s="58" t="str">
        <f>IF(OR(WBS!$F116="",WBS!$T116=""),"",IF(AND(4&gt;=WBS!$F116,4&lt;=WBS!$T116),IF(WBS!$L116="Done",3,IF(WBS!$L116="Doing",2,IF(WBS!$L116="Blocked",4,IF(WBS!$L116="Deferred",5,1)))),""))</f>
        <v/>
      </c>
      <c r="J116" s="58" t="str">
        <f>IF(OR(WBS!$F116="",WBS!$T116=""),"",IF(AND(5&gt;=WBS!$F116,5&lt;=WBS!$T116),IF(WBS!$L116="Done",3,IF(WBS!$L116="Doing",2,IF(WBS!$L116="Blocked",4,IF(WBS!$L116="Deferred",5,1)))),""))</f>
        <v/>
      </c>
      <c r="K116" s="58" t="str">
        <f>IF(OR(WBS!$F116="",WBS!$T116=""),"",IF(AND(6&gt;=WBS!$F116,6&lt;=WBS!$T116),IF(WBS!$L116="Done",3,IF(WBS!$L116="Doing",2,IF(WBS!$L116="Blocked",4,IF(WBS!$L116="Deferred",5,1)))),""))</f>
        <v/>
      </c>
      <c r="L116" s="58" t="str">
        <f>IF(OR(WBS!$F116="",WBS!$T116=""),"",IF(AND(7&gt;=WBS!$F116,7&lt;=WBS!$T116),IF(WBS!$L116="Done",3,IF(WBS!$L116="Doing",2,IF(WBS!$L116="Blocked",4,IF(WBS!$L116="Deferred",5,1)))),""))</f>
        <v/>
      </c>
      <c r="M116" s="58" t="str">
        <f>IF(OR(WBS!$F116="",WBS!$T116=""),"",IF(AND(8&gt;=WBS!$F116,8&lt;=WBS!$T116),IF(WBS!$L116="Done",3,IF(WBS!$L116="Doing",2,IF(WBS!$L116="Blocked",4,IF(WBS!$L116="Deferred",5,1)))),""))</f>
        <v/>
      </c>
      <c r="N116" s="58" t="str">
        <f>IF(OR(WBS!$F116="",WBS!$T116=""),"",IF(AND(9&gt;=WBS!$F116,9&lt;=WBS!$T116),IF(WBS!$L116="Done",3,IF(WBS!$L116="Doing",2,IF(WBS!$L116="Blocked",4,IF(WBS!$L116="Deferred",5,1)))),""))</f>
        <v/>
      </c>
      <c r="O116" s="58" t="str">
        <f>IF(OR(WBS!$F116="",WBS!$T116=""),"",IF(AND(10&gt;=WBS!$F116,10&lt;=WBS!$T116),IF(WBS!$L116="Done",3,IF(WBS!$L116="Doing",2,IF(WBS!$L116="Blocked",4,IF(WBS!$L116="Deferred",5,1)))),""))</f>
        <v/>
      </c>
      <c r="P116" s="58" t="str">
        <f>IF(OR(WBS!$F116="",WBS!$T116=""),"",IF(AND(11&gt;=WBS!$F116,11&lt;=WBS!$T116),IF(WBS!$L116="Done",3,IF(WBS!$L116="Doing",2,IF(WBS!$L116="Blocked",4,IF(WBS!$L116="Deferred",5,1)))),""))</f>
        <v/>
      </c>
      <c r="Q116" s="58" t="str">
        <f>IF(OR(WBS!$F116="",WBS!$T116=""),"",IF(AND(12&gt;=WBS!$F116,12&lt;=WBS!$T116),IF(WBS!$L116="Done",3,IF(WBS!$L116="Doing",2,IF(WBS!$L116="Blocked",4,IF(WBS!$L116="Deferred",5,1)))),""))</f>
        <v/>
      </c>
      <c r="R116" s="58" t="str">
        <f>IF(OR(WBS!$F116="",WBS!$T116=""),"",IF(AND(13&gt;=WBS!$F116,13&lt;=WBS!$T116),IF(WBS!$L116="Done",3,IF(WBS!$L116="Doing",2,IF(WBS!$L116="Blocked",4,IF(WBS!$L116="Deferred",5,1)))),""))</f>
        <v/>
      </c>
      <c r="S116" s="58" t="str">
        <f>IF(OR(WBS!$F116="",WBS!$T116=""),"",IF(AND(14&gt;=WBS!$F116,14&lt;=WBS!$T116),IF(WBS!$L116="Done",3,IF(WBS!$L116="Doing",2,IF(WBS!$L116="Blocked",4,IF(WBS!$L116="Deferred",5,1)))),""))</f>
        <v/>
      </c>
      <c r="T116" s="58" t="str">
        <f>IF(OR(WBS!$F116="",WBS!$T116=""),"",IF(AND(15&gt;=WBS!$F116,15&lt;=WBS!$T116),IF(WBS!$L116="Done",3,IF(WBS!$L116="Doing",2,IF(WBS!$L116="Blocked",4,IF(WBS!$L116="Deferred",5,1)))),""))</f>
        <v/>
      </c>
      <c r="U116" s="58">
        <f>IF(OR(WBS!$F116="",WBS!$T116=""),"",IF(AND(16&gt;=WBS!$F116,16&lt;=WBS!$T116),IF(WBS!$L116="Done",3,IF(WBS!$L116="Doing",2,IF(WBS!$L116="Blocked",4,IF(WBS!$L116="Deferred",5,1)))),""))</f>
        <v>1</v>
      </c>
      <c r="V116" s="58" t="str">
        <f>IF(OR(WBS!$F116="",WBS!$T116=""),"",IF(AND(17&gt;=WBS!$F116,17&lt;=WBS!$T116),IF(WBS!$L116="Done",3,IF(WBS!$L116="Doing",2,IF(WBS!$L116="Blocked",4,IF(WBS!$L116="Deferred",5,1)))),""))</f>
        <v/>
      </c>
      <c r="W116" s="58" t="str">
        <f>IF(OR(WBS!$F116="",WBS!$T116=""),"",IF(AND(18&gt;=WBS!$F116,18&lt;=WBS!$T116),IF(WBS!$L116="Done",3,IF(WBS!$L116="Doing",2,IF(WBS!$L116="Blocked",4,IF(WBS!$L116="Deferred",5,1)))),""))</f>
        <v/>
      </c>
      <c r="X116" s="58" t="str">
        <f>IF(OR(WBS!$F116="",WBS!$T116=""),"",IF(AND(19&gt;=WBS!$F116,19&lt;=WBS!$T116),IF(WBS!$L116="Done",3,IF(WBS!$L116="Doing",2,IF(WBS!$L116="Blocked",4,IF(WBS!$L116="Deferred",5,1)))),""))</f>
        <v/>
      </c>
      <c r="Y116" s="58" t="str">
        <f>IF(OR(WBS!$F116="",WBS!$T116=""),"",IF(AND(20&gt;=WBS!$F116,20&lt;=WBS!$T116),IF(WBS!$L116="Done",3,IF(WBS!$L116="Doing",2,IF(WBS!$L116="Blocked",4,IF(WBS!$L116="Deferred",5,1)))),""))</f>
        <v/>
      </c>
      <c r="Z116" s="58" t="str">
        <f>IF(OR(WBS!$F116="",WBS!$T116=""),"",IF(AND(21&gt;=WBS!$F116,21&lt;=WBS!$T116),IF(WBS!$L116="Done",3,IF(WBS!$L116="Doing",2,IF(WBS!$L116="Blocked",4,IF(WBS!$L116="Deferred",5,1)))),""))</f>
        <v/>
      </c>
    </row>
    <row r="117" spans="1:26" x14ac:dyDescent="0.3">
      <c r="A117" s="59" t="str">
        <f>WBS!$A117</f>
        <v>7.3</v>
      </c>
      <c r="B117" s="60" t="str">
        <f>WBS!$C117</f>
        <v xml:space="preserve">    Security testing</v>
      </c>
      <c r="C117" s="61" t="str">
        <f>IF(WBS!$E117="","",WBS!$E117)</f>
        <v/>
      </c>
      <c r="D117" s="62">
        <f>WBS!$J117</f>
        <v>8</v>
      </c>
      <c r="E117" s="63">
        <f>WBS!$M117</f>
        <v>0</v>
      </c>
      <c r="F117" s="58" t="str">
        <f>IF(OR(WBS!$F117="",WBS!$T117=""),"",IF(AND(1&gt;=WBS!$F117,1&lt;=WBS!$T117),IF(WBS!$L117="Done",3,IF(WBS!$L117="Doing",2,IF(WBS!$L117="Blocked",4,IF(WBS!$L117="Deferred",5,1)))),""))</f>
        <v/>
      </c>
      <c r="G117" s="58" t="str">
        <f>IF(OR(WBS!$F117="",WBS!$T117=""),"",IF(AND(2&gt;=WBS!$F117,2&lt;=WBS!$T117),IF(WBS!$L117="Done",3,IF(WBS!$L117="Doing",2,IF(WBS!$L117="Blocked",4,IF(WBS!$L117="Deferred",5,1)))),""))</f>
        <v/>
      </c>
      <c r="H117" s="58" t="str">
        <f>IF(OR(WBS!$F117="",WBS!$T117=""),"",IF(AND(3&gt;=WBS!$F117,3&lt;=WBS!$T117),IF(WBS!$L117="Done",3,IF(WBS!$L117="Doing",2,IF(WBS!$L117="Blocked",4,IF(WBS!$L117="Deferred",5,1)))),""))</f>
        <v/>
      </c>
      <c r="I117" s="58" t="str">
        <f>IF(OR(WBS!$F117="",WBS!$T117=""),"",IF(AND(4&gt;=WBS!$F117,4&lt;=WBS!$T117),IF(WBS!$L117="Done",3,IF(WBS!$L117="Doing",2,IF(WBS!$L117="Blocked",4,IF(WBS!$L117="Deferred",5,1)))),""))</f>
        <v/>
      </c>
      <c r="J117" s="58" t="str">
        <f>IF(OR(WBS!$F117="",WBS!$T117=""),"",IF(AND(5&gt;=WBS!$F117,5&lt;=WBS!$T117),IF(WBS!$L117="Done",3,IF(WBS!$L117="Doing",2,IF(WBS!$L117="Blocked",4,IF(WBS!$L117="Deferred",5,1)))),""))</f>
        <v/>
      </c>
      <c r="K117" s="58" t="str">
        <f>IF(OR(WBS!$F117="",WBS!$T117=""),"",IF(AND(6&gt;=WBS!$F117,6&lt;=WBS!$T117),IF(WBS!$L117="Done",3,IF(WBS!$L117="Doing",2,IF(WBS!$L117="Blocked",4,IF(WBS!$L117="Deferred",5,1)))),""))</f>
        <v/>
      </c>
      <c r="L117" s="58" t="str">
        <f>IF(OR(WBS!$F117="",WBS!$T117=""),"",IF(AND(7&gt;=WBS!$F117,7&lt;=WBS!$T117),IF(WBS!$L117="Done",3,IF(WBS!$L117="Doing",2,IF(WBS!$L117="Blocked",4,IF(WBS!$L117="Deferred",5,1)))),""))</f>
        <v/>
      </c>
      <c r="M117" s="58" t="str">
        <f>IF(OR(WBS!$F117="",WBS!$T117=""),"",IF(AND(8&gt;=WBS!$F117,8&lt;=WBS!$T117),IF(WBS!$L117="Done",3,IF(WBS!$L117="Doing",2,IF(WBS!$L117="Blocked",4,IF(WBS!$L117="Deferred",5,1)))),""))</f>
        <v/>
      </c>
      <c r="N117" s="58" t="str">
        <f>IF(OR(WBS!$F117="",WBS!$T117=""),"",IF(AND(9&gt;=WBS!$F117,9&lt;=WBS!$T117),IF(WBS!$L117="Done",3,IF(WBS!$L117="Doing",2,IF(WBS!$L117="Blocked",4,IF(WBS!$L117="Deferred",5,1)))),""))</f>
        <v/>
      </c>
      <c r="O117" s="58" t="str">
        <f>IF(OR(WBS!$F117="",WBS!$T117=""),"",IF(AND(10&gt;=WBS!$F117,10&lt;=WBS!$T117),IF(WBS!$L117="Done",3,IF(WBS!$L117="Doing",2,IF(WBS!$L117="Blocked",4,IF(WBS!$L117="Deferred",5,1)))),""))</f>
        <v/>
      </c>
      <c r="P117" s="58" t="str">
        <f>IF(OR(WBS!$F117="",WBS!$T117=""),"",IF(AND(11&gt;=WBS!$F117,11&lt;=WBS!$T117),IF(WBS!$L117="Done",3,IF(WBS!$L117="Doing",2,IF(WBS!$L117="Blocked",4,IF(WBS!$L117="Deferred",5,1)))),""))</f>
        <v/>
      </c>
      <c r="Q117" s="58" t="str">
        <f>IF(OR(WBS!$F117="",WBS!$T117=""),"",IF(AND(12&gt;=WBS!$F117,12&lt;=WBS!$T117),IF(WBS!$L117="Done",3,IF(WBS!$L117="Doing",2,IF(WBS!$L117="Blocked",4,IF(WBS!$L117="Deferred",5,1)))),""))</f>
        <v/>
      </c>
      <c r="R117" s="58" t="str">
        <f>IF(OR(WBS!$F117="",WBS!$T117=""),"",IF(AND(13&gt;=WBS!$F117,13&lt;=WBS!$T117),IF(WBS!$L117="Done",3,IF(WBS!$L117="Doing",2,IF(WBS!$L117="Blocked",4,IF(WBS!$L117="Deferred",5,1)))),""))</f>
        <v/>
      </c>
      <c r="S117" s="58" t="str">
        <f>IF(OR(WBS!$F117="",WBS!$T117=""),"",IF(AND(14&gt;=WBS!$F117,14&lt;=WBS!$T117),IF(WBS!$L117="Done",3,IF(WBS!$L117="Doing",2,IF(WBS!$L117="Blocked",4,IF(WBS!$L117="Deferred",5,1)))),""))</f>
        <v/>
      </c>
      <c r="T117" s="58" t="str">
        <f>IF(OR(WBS!$F117="",WBS!$T117=""),"",IF(AND(15&gt;=WBS!$F117,15&lt;=WBS!$T117),IF(WBS!$L117="Done",3,IF(WBS!$L117="Doing",2,IF(WBS!$L117="Blocked",4,IF(WBS!$L117="Deferred",5,1)))),""))</f>
        <v/>
      </c>
      <c r="U117" s="58" t="str">
        <f>IF(OR(WBS!$F117="",WBS!$T117=""),"",IF(AND(16&gt;=WBS!$F117,16&lt;=WBS!$T117),IF(WBS!$L117="Done",3,IF(WBS!$L117="Doing",2,IF(WBS!$L117="Blocked",4,IF(WBS!$L117="Deferred",5,1)))),""))</f>
        <v/>
      </c>
      <c r="V117" s="58">
        <f>IF(OR(WBS!$F117="",WBS!$T117=""),"",IF(AND(17&gt;=WBS!$F117,17&lt;=WBS!$T117),IF(WBS!$L117="Done",3,IF(WBS!$L117="Doing",2,IF(WBS!$L117="Blocked",4,IF(WBS!$L117="Deferred",5,1)))),""))</f>
        <v>1</v>
      </c>
      <c r="W117" s="58" t="str">
        <f>IF(OR(WBS!$F117="",WBS!$T117=""),"",IF(AND(18&gt;=WBS!$F117,18&lt;=WBS!$T117),IF(WBS!$L117="Done",3,IF(WBS!$L117="Doing",2,IF(WBS!$L117="Blocked",4,IF(WBS!$L117="Deferred",5,1)))),""))</f>
        <v/>
      </c>
      <c r="X117" s="58" t="str">
        <f>IF(OR(WBS!$F117="",WBS!$T117=""),"",IF(AND(19&gt;=WBS!$F117,19&lt;=WBS!$T117),IF(WBS!$L117="Done",3,IF(WBS!$L117="Doing",2,IF(WBS!$L117="Blocked",4,IF(WBS!$L117="Deferred",5,1)))),""))</f>
        <v/>
      </c>
      <c r="Y117" s="58" t="str">
        <f>IF(OR(WBS!$F117="",WBS!$T117=""),"",IF(AND(20&gt;=WBS!$F117,20&lt;=WBS!$T117),IF(WBS!$L117="Done",3,IF(WBS!$L117="Doing",2,IF(WBS!$L117="Blocked",4,IF(WBS!$L117="Deferred",5,1)))),""))</f>
        <v/>
      </c>
      <c r="Z117" s="58" t="str">
        <f>IF(OR(WBS!$F117="",WBS!$T117=""),"",IF(AND(21&gt;=WBS!$F117,21&lt;=WBS!$T117),IF(WBS!$L117="Done",3,IF(WBS!$L117="Doing",2,IF(WBS!$L117="Blocked",4,IF(WBS!$L117="Deferred",5,1)))),""))</f>
        <v/>
      </c>
    </row>
    <row r="118" spans="1:26" ht="26.4" x14ac:dyDescent="0.3">
      <c r="A118" s="64" t="str">
        <f>WBS!$A118</f>
        <v>7.3.1</v>
      </c>
      <c r="B118" s="65" t="str">
        <f>WBS!$C118</f>
        <v xml:space="preserve">        Authorization negative suite - IDOR, cross-station edit, role escalation</v>
      </c>
      <c r="C118" s="66" t="str">
        <f>IF(WBS!$E118="","",WBS!$E118)</f>
        <v>SEC</v>
      </c>
      <c r="D118" s="67">
        <f>WBS!$J118</f>
        <v>2.5</v>
      </c>
      <c r="E118" s="68">
        <f>WBS!$M118</f>
        <v>0</v>
      </c>
      <c r="F118" s="58" t="str">
        <f>IF(OR(WBS!$F118="",WBS!$T118=""),"",IF(AND(1&gt;=WBS!$F118,1&lt;=WBS!$T118),IF(WBS!$L118="Done",3,IF(WBS!$L118="Doing",2,IF(WBS!$L118="Blocked",4,IF(WBS!$L118="Deferred",5,1)))),""))</f>
        <v/>
      </c>
      <c r="G118" s="58" t="str">
        <f>IF(OR(WBS!$F118="",WBS!$T118=""),"",IF(AND(2&gt;=WBS!$F118,2&lt;=WBS!$T118),IF(WBS!$L118="Done",3,IF(WBS!$L118="Doing",2,IF(WBS!$L118="Blocked",4,IF(WBS!$L118="Deferred",5,1)))),""))</f>
        <v/>
      </c>
      <c r="H118" s="58" t="str">
        <f>IF(OR(WBS!$F118="",WBS!$T118=""),"",IF(AND(3&gt;=WBS!$F118,3&lt;=WBS!$T118),IF(WBS!$L118="Done",3,IF(WBS!$L118="Doing",2,IF(WBS!$L118="Blocked",4,IF(WBS!$L118="Deferred",5,1)))),""))</f>
        <v/>
      </c>
      <c r="I118" s="58" t="str">
        <f>IF(OR(WBS!$F118="",WBS!$T118=""),"",IF(AND(4&gt;=WBS!$F118,4&lt;=WBS!$T118),IF(WBS!$L118="Done",3,IF(WBS!$L118="Doing",2,IF(WBS!$L118="Blocked",4,IF(WBS!$L118="Deferred",5,1)))),""))</f>
        <v/>
      </c>
      <c r="J118" s="58" t="str">
        <f>IF(OR(WBS!$F118="",WBS!$T118=""),"",IF(AND(5&gt;=WBS!$F118,5&lt;=WBS!$T118),IF(WBS!$L118="Done",3,IF(WBS!$L118="Doing",2,IF(WBS!$L118="Blocked",4,IF(WBS!$L118="Deferred",5,1)))),""))</f>
        <v/>
      </c>
      <c r="K118" s="58" t="str">
        <f>IF(OR(WBS!$F118="",WBS!$T118=""),"",IF(AND(6&gt;=WBS!$F118,6&lt;=WBS!$T118),IF(WBS!$L118="Done",3,IF(WBS!$L118="Doing",2,IF(WBS!$L118="Blocked",4,IF(WBS!$L118="Deferred",5,1)))),""))</f>
        <v/>
      </c>
      <c r="L118" s="58" t="str">
        <f>IF(OR(WBS!$F118="",WBS!$T118=""),"",IF(AND(7&gt;=WBS!$F118,7&lt;=WBS!$T118),IF(WBS!$L118="Done",3,IF(WBS!$L118="Doing",2,IF(WBS!$L118="Blocked",4,IF(WBS!$L118="Deferred",5,1)))),""))</f>
        <v/>
      </c>
      <c r="M118" s="58" t="str">
        <f>IF(OR(WBS!$F118="",WBS!$T118=""),"",IF(AND(8&gt;=WBS!$F118,8&lt;=WBS!$T118),IF(WBS!$L118="Done",3,IF(WBS!$L118="Doing",2,IF(WBS!$L118="Blocked",4,IF(WBS!$L118="Deferred",5,1)))),""))</f>
        <v/>
      </c>
      <c r="N118" s="58" t="str">
        <f>IF(OR(WBS!$F118="",WBS!$T118=""),"",IF(AND(9&gt;=WBS!$F118,9&lt;=WBS!$T118),IF(WBS!$L118="Done",3,IF(WBS!$L118="Doing",2,IF(WBS!$L118="Blocked",4,IF(WBS!$L118="Deferred",5,1)))),""))</f>
        <v/>
      </c>
      <c r="O118" s="58" t="str">
        <f>IF(OR(WBS!$F118="",WBS!$T118=""),"",IF(AND(10&gt;=WBS!$F118,10&lt;=WBS!$T118),IF(WBS!$L118="Done",3,IF(WBS!$L118="Doing",2,IF(WBS!$L118="Blocked",4,IF(WBS!$L118="Deferred",5,1)))),""))</f>
        <v/>
      </c>
      <c r="P118" s="58" t="str">
        <f>IF(OR(WBS!$F118="",WBS!$T118=""),"",IF(AND(11&gt;=WBS!$F118,11&lt;=WBS!$T118),IF(WBS!$L118="Done",3,IF(WBS!$L118="Doing",2,IF(WBS!$L118="Blocked",4,IF(WBS!$L118="Deferred",5,1)))),""))</f>
        <v/>
      </c>
      <c r="Q118" s="58" t="str">
        <f>IF(OR(WBS!$F118="",WBS!$T118=""),"",IF(AND(12&gt;=WBS!$F118,12&lt;=WBS!$T118),IF(WBS!$L118="Done",3,IF(WBS!$L118="Doing",2,IF(WBS!$L118="Blocked",4,IF(WBS!$L118="Deferred",5,1)))),""))</f>
        <v/>
      </c>
      <c r="R118" s="58" t="str">
        <f>IF(OR(WBS!$F118="",WBS!$T118=""),"",IF(AND(13&gt;=WBS!$F118,13&lt;=WBS!$T118),IF(WBS!$L118="Done",3,IF(WBS!$L118="Doing",2,IF(WBS!$L118="Blocked",4,IF(WBS!$L118="Deferred",5,1)))),""))</f>
        <v/>
      </c>
      <c r="S118" s="58" t="str">
        <f>IF(OR(WBS!$F118="",WBS!$T118=""),"",IF(AND(14&gt;=WBS!$F118,14&lt;=WBS!$T118),IF(WBS!$L118="Done",3,IF(WBS!$L118="Doing",2,IF(WBS!$L118="Blocked",4,IF(WBS!$L118="Deferred",5,1)))),""))</f>
        <v/>
      </c>
      <c r="T118" s="58" t="str">
        <f>IF(OR(WBS!$F118="",WBS!$T118=""),"",IF(AND(15&gt;=WBS!$F118,15&lt;=WBS!$T118),IF(WBS!$L118="Done",3,IF(WBS!$L118="Doing",2,IF(WBS!$L118="Blocked",4,IF(WBS!$L118="Deferred",5,1)))),""))</f>
        <v/>
      </c>
      <c r="U118" s="58" t="str">
        <f>IF(OR(WBS!$F118="",WBS!$T118=""),"",IF(AND(16&gt;=WBS!$F118,16&lt;=WBS!$T118),IF(WBS!$L118="Done",3,IF(WBS!$L118="Doing",2,IF(WBS!$L118="Blocked",4,IF(WBS!$L118="Deferred",5,1)))),""))</f>
        <v/>
      </c>
      <c r="V118" s="58">
        <f>IF(OR(WBS!$F118="",WBS!$T118=""),"",IF(AND(17&gt;=WBS!$F118,17&lt;=WBS!$T118),IF(WBS!$L118="Done",3,IF(WBS!$L118="Doing",2,IF(WBS!$L118="Blocked",4,IF(WBS!$L118="Deferred",5,1)))),""))</f>
        <v>1</v>
      </c>
      <c r="W118" s="58" t="str">
        <f>IF(OR(WBS!$F118="",WBS!$T118=""),"",IF(AND(18&gt;=WBS!$F118,18&lt;=WBS!$T118),IF(WBS!$L118="Done",3,IF(WBS!$L118="Doing",2,IF(WBS!$L118="Blocked",4,IF(WBS!$L118="Deferred",5,1)))),""))</f>
        <v/>
      </c>
      <c r="X118" s="58" t="str">
        <f>IF(OR(WBS!$F118="",WBS!$T118=""),"",IF(AND(19&gt;=WBS!$F118,19&lt;=WBS!$T118),IF(WBS!$L118="Done",3,IF(WBS!$L118="Doing",2,IF(WBS!$L118="Blocked",4,IF(WBS!$L118="Deferred",5,1)))),""))</f>
        <v/>
      </c>
      <c r="Y118" s="58" t="str">
        <f>IF(OR(WBS!$F118="",WBS!$T118=""),"",IF(AND(20&gt;=WBS!$F118,20&lt;=WBS!$T118),IF(WBS!$L118="Done",3,IF(WBS!$L118="Doing",2,IF(WBS!$L118="Blocked",4,IF(WBS!$L118="Deferred",5,1)))),""))</f>
        <v/>
      </c>
      <c r="Z118" s="58" t="str">
        <f>IF(OR(WBS!$F118="",WBS!$T118=""),"",IF(AND(21&gt;=WBS!$F118,21&lt;=WBS!$T118),IF(WBS!$L118="Done",3,IF(WBS!$L118="Doing",2,IF(WBS!$L118="Blocked",4,IF(WBS!$L118="Deferred",5,1)))),""))</f>
        <v/>
      </c>
    </row>
    <row r="119" spans="1:26" x14ac:dyDescent="0.3">
      <c r="A119" s="64" t="str">
        <f>WBS!$A119</f>
        <v>7.3.2</v>
      </c>
      <c r="B119" s="65" t="str">
        <f>WBS!$C119</f>
        <v xml:space="preserve">        ZAP baseline scan and triage</v>
      </c>
      <c r="C119" s="66" t="str">
        <f>IF(WBS!$E119="","",WBS!$E119)</f>
        <v>SEC</v>
      </c>
      <c r="D119" s="67">
        <f>WBS!$J119</f>
        <v>1.5</v>
      </c>
      <c r="E119" s="68">
        <f>WBS!$M119</f>
        <v>0</v>
      </c>
      <c r="F119" s="58" t="str">
        <f>IF(OR(WBS!$F119="",WBS!$T119=""),"",IF(AND(1&gt;=WBS!$F119,1&lt;=WBS!$T119),IF(WBS!$L119="Done",3,IF(WBS!$L119="Doing",2,IF(WBS!$L119="Blocked",4,IF(WBS!$L119="Deferred",5,1)))),""))</f>
        <v/>
      </c>
      <c r="G119" s="58" t="str">
        <f>IF(OR(WBS!$F119="",WBS!$T119=""),"",IF(AND(2&gt;=WBS!$F119,2&lt;=WBS!$T119),IF(WBS!$L119="Done",3,IF(WBS!$L119="Doing",2,IF(WBS!$L119="Blocked",4,IF(WBS!$L119="Deferred",5,1)))),""))</f>
        <v/>
      </c>
      <c r="H119" s="58" t="str">
        <f>IF(OR(WBS!$F119="",WBS!$T119=""),"",IF(AND(3&gt;=WBS!$F119,3&lt;=WBS!$T119),IF(WBS!$L119="Done",3,IF(WBS!$L119="Doing",2,IF(WBS!$L119="Blocked",4,IF(WBS!$L119="Deferred",5,1)))),""))</f>
        <v/>
      </c>
      <c r="I119" s="58" t="str">
        <f>IF(OR(WBS!$F119="",WBS!$T119=""),"",IF(AND(4&gt;=WBS!$F119,4&lt;=WBS!$T119),IF(WBS!$L119="Done",3,IF(WBS!$L119="Doing",2,IF(WBS!$L119="Blocked",4,IF(WBS!$L119="Deferred",5,1)))),""))</f>
        <v/>
      </c>
      <c r="J119" s="58" t="str">
        <f>IF(OR(WBS!$F119="",WBS!$T119=""),"",IF(AND(5&gt;=WBS!$F119,5&lt;=WBS!$T119),IF(WBS!$L119="Done",3,IF(WBS!$L119="Doing",2,IF(WBS!$L119="Blocked",4,IF(WBS!$L119="Deferred",5,1)))),""))</f>
        <v/>
      </c>
      <c r="K119" s="58" t="str">
        <f>IF(OR(WBS!$F119="",WBS!$T119=""),"",IF(AND(6&gt;=WBS!$F119,6&lt;=WBS!$T119),IF(WBS!$L119="Done",3,IF(WBS!$L119="Doing",2,IF(WBS!$L119="Blocked",4,IF(WBS!$L119="Deferred",5,1)))),""))</f>
        <v/>
      </c>
      <c r="L119" s="58" t="str">
        <f>IF(OR(WBS!$F119="",WBS!$T119=""),"",IF(AND(7&gt;=WBS!$F119,7&lt;=WBS!$T119),IF(WBS!$L119="Done",3,IF(WBS!$L119="Doing",2,IF(WBS!$L119="Blocked",4,IF(WBS!$L119="Deferred",5,1)))),""))</f>
        <v/>
      </c>
      <c r="M119" s="58" t="str">
        <f>IF(OR(WBS!$F119="",WBS!$T119=""),"",IF(AND(8&gt;=WBS!$F119,8&lt;=WBS!$T119),IF(WBS!$L119="Done",3,IF(WBS!$L119="Doing",2,IF(WBS!$L119="Blocked",4,IF(WBS!$L119="Deferred",5,1)))),""))</f>
        <v/>
      </c>
      <c r="N119" s="58" t="str">
        <f>IF(OR(WBS!$F119="",WBS!$T119=""),"",IF(AND(9&gt;=WBS!$F119,9&lt;=WBS!$T119),IF(WBS!$L119="Done",3,IF(WBS!$L119="Doing",2,IF(WBS!$L119="Blocked",4,IF(WBS!$L119="Deferred",5,1)))),""))</f>
        <v/>
      </c>
      <c r="O119" s="58" t="str">
        <f>IF(OR(WBS!$F119="",WBS!$T119=""),"",IF(AND(10&gt;=WBS!$F119,10&lt;=WBS!$T119),IF(WBS!$L119="Done",3,IF(WBS!$L119="Doing",2,IF(WBS!$L119="Blocked",4,IF(WBS!$L119="Deferred",5,1)))),""))</f>
        <v/>
      </c>
      <c r="P119" s="58" t="str">
        <f>IF(OR(WBS!$F119="",WBS!$T119=""),"",IF(AND(11&gt;=WBS!$F119,11&lt;=WBS!$T119),IF(WBS!$L119="Done",3,IF(WBS!$L119="Doing",2,IF(WBS!$L119="Blocked",4,IF(WBS!$L119="Deferred",5,1)))),""))</f>
        <v/>
      </c>
      <c r="Q119" s="58" t="str">
        <f>IF(OR(WBS!$F119="",WBS!$T119=""),"",IF(AND(12&gt;=WBS!$F119,12&lt;=WBS!$T119),IF(WBS!$L119="Done",3,IF(WBS!$L119="Doing",2,IF(WBS!$L119="Blocked",4,IF(WBS!$L119="Deferred",5,1)))),""))</f>
        <v/>
      </c>
      <c r="R119" s="58" t="str">
        <f>IF(OR(WBS!$F119="",WBS!$T119=""),"",IF(AND(13&gt;=WBS!$F119,13&lt;=WBS!$T119),IF(WBS!$L119="Done",3,IF(WBS!$L119="Doing",2,IF(WBS!$L119="Blocked",4,IF(WBS!$L119="Deferred",5,1)))),""))</f>
        <v/>
      </c>
      <c r="S119" s="58" t="str">
        <f>IF(OR(WBS!$F119="",WBS!$T119=""),"",IF(AND(14&gt;=WBS!$F119,14&lt;=WBS!$T119),IF(WBS!$L119="Done",3,IF(WBS!$L119="Doing",2,IF(WBS!$L119="Blocked",4,IF(WBS!$L119="Deferred",5,1)))),""))</f>
        <v/>
      </c>
      <c r="T119" s="58" t="str">
        <f>IF(OR(WBS!$F119="",WBS!$T119=""),"",IF(AND(15&gt;=WBS!$F119,15&lt;=WBS!$T119),IF(WBS!$L119="Done",3,IF(WBS!$L119="Doing",2,IF(WBS!$L119="Blocked",4,IF(WBS!$L119="Deferred",5,1)))),""))</f>
        <v/>
      </c>
      <c r="U119" s="58" t="str">
        <f>IF(OR(WBS!$F119="",WBS!$T119=""),"",IF(AND(16&gt;=WBS!$F119,16&lt;=WBS!$T119),IF(WBS!$L119="Done",3,IF(WBS!$L119="Doing",2,IF(WBS!$L119="Blocked",4,IF(WBS!$L119="Deferred",5,1)))),""))</f>
        <v/>
      </c>
      <c r="V119" s="58">
        <f>IF(OR(WBS!$F119="",WBS!$T119=""),"",IF(AND(17&gt;=WBS!$F119,17&lt;=WBS!$T119),IF(WBS!$L119="Done",3,IF(WBS!$L119="Doing",2,IF(WBS!$L119="Blocked",4,IF(WBS!$L119="Deferred",5,1)))),""))</f>
        <v>1</v>
      </c>
      <c r="W119" s="58" t="str">
        <f>IF(OR(WBS!$F119="",WBS!$T119=""),"",IF(AND(18&gt;=WBS!$F119,18&lt;=WBS!$T119),IF(WBS!$L119="Done",3,IF(WBS!$L119="Doing",2,IF(WBS!$L119="Blocked",4,IF(WBS!$L119="Deferred",5,1)))),""))</f>
        <v/>
      </c>
      <c r="X119" s="58" t="str">
        <f>IF(OR(WBS!$F119="",WBS!$T119=""),"",IF(AND(19&gt;=WBS!$F119,19&lt;=WBS!$T119),IF(WBS!$L119="Done",3,IF(WBS!$L119="Doing",2,IF(WBS!$L119="Blocked",4,IF(WBS!$L119="Deferred",5,1)))),""))</f>
        <v/>
      </c>
      <c r="Y119" s="58" t="str">
        <f>IF(OR(WBS!$F119="",WBS!$T119=""),"",IF(AND(20&gt;=WBS!$F119,20&lt;=WBS!$T119),IF(WBS!$L119="Done",3,IF(WBS!$L119="Doing",2,IF(WBS!$L119="Blocked",4,IF(WBS!$L119="Deferred",5,1)))),""))</f>
        <v/>
      </c>
      <c r="Z119" s="58" t="str">
        <f>IF(OR(WBS!$F119="",WBS!$T119=""),"",IF(AND(21&gt;=WBS!$F119,21&lt;=WBS!$T119),IF(WBS!$L119="Done",3,IF(WBS!$L119="Doing",2,IF(WBS!$L119="Blocked",4,IF(WBS!$L119="Deferred",5,1)))),""))</f>
        <v/>
      </c>
    </row>
    <row r="120" spans="1:26" x14ac:dyDescent="0.3">
      <c r="A120" s="64" t="str">
        <f>WBS!$A120</f>
        <v>7.3.3</v>
      </c>
      <c r="B120" s="65" t="str">
        <f>WBS!$C120</f>
        <v xml:space="preserve">        Dependency and secret scanning gates in CI</v>
      </c>
      <c r="C120" s="66" t="str">
        <f>IF(WBS!$E120="","",WBS!$E120)</f>
        <v>SEC</v>
      </c>
      <c r="D120" s="67">
        <f>WBS!$J120</f>
        <v>1</v>
      </c>
      <c r="E120" s="68">
        <f>WBS!$M120</f>
        <v>0</v>
      </c>
      <c r="F120" s="58" t="str">
        <f>IF(OR(WBS!$F120="",WBS!$T120=""),"",IF(AND(1&gt;=WBS!$F120,1&lt;=WBS!$T120),IF(WBS!$L120="Done",3,IF(WBS!$L120="Doing",2,IF(WBS!$L120="Blocked",4,IF(WBS!$L120="Deferred",5,1)))),""))</f>
        <v/>
      </c>
      <c r="G120" s="58" t="str">
        <f>IF(OR(WBS!$F120="",WBS!$T120=""),"",IF(AND(2&gt;=WBS!$F120,2&lt;=WBS!$T120),IF(WBS!$L120="Done",3,IF(WBS!$L120="Doing",2,IF(WBS!$L120="Blocked",4,IF(WBS!$L120="Deferred",5,1)))),""))</f>
        <v/>
      </c>
      <c r="H120" s="58" t="str">
        <f>IF(OR(WBS!$F120="",WBS!$T120=""),"",IF(AND(3&gt;=WBS!$F120,3&lt;=WBS!$T120),IF(WBS!$L120="Done",3,IF(WBS!$L120="Doing",2,IF(WBS!$L120="Blocked",4,IF(WBS!$L120="Deferred",5,1)))),""))</f>
        <v/>
      </c>
      <c r="I120" s="58" t="str">
        <f>IF(OR(WBS!$F120="",WBS!$T120=""),"",IF(AND(4&gt;=WBS!$F120,4&lt;=WBS!$T120),IF(WBS!$L120="Done",3,IF(WBS!$L120="Doing",2,IF(WBS!$L120="Blocked",4,IF(WBS!$L120="Deferred",5,1)))),""))</f>
        <v/>
      </c>
      <c r="J120" s="58" t="str">
        <f>IF(OR(WBS!$F120="",WBS!$T120=""),"",IF(AND(5&gt;=WBS!$F120,5&lt;=WBS!$T120),IF(WBS!$L120="Done",3,IF(WBS!$L120="Doing",2,IF(WBS!$L120="Blocked",4,IF(WBS!$L120="Deferred",5,1)))),""))</f>
        <v/>
      </c>
      <c r="K120" s="58" t="str">
        <f>IF(OR(WBS!$F120="",WBS!$T120=""),"",IF(AND(6&gt;=WBS!$F120,6&lt;=WBS!$T120),IF(WBS!$L120="Done",3,IF(WBS!$L120="Doing",2,IF(WBS!$L120="Blocked",4,IF(WBS!$L120="Deferred",5,1)))),""))</f>
        <v/>
      </c>
      <c r="L120" s="58" t="str">
        <f>IF(OR(WBS!$F120="",WBS!$T120=""),"",IF(AND(7&gt;=WBS!$F120,7&lt;=WBS!$T120),IF(WBS!$L120="Done",3,IF(WBS!$L120="Doing",2,IF(WBS!$L120="Blocked",4,IF(WBS!$L120="Deferred",5,1)))),""))</f>
        <v/>
      </c>
      <c r="M120" s="58" t="str">
        <f>IF(OR(WBS!$F120="",WBS!$T120=""),"",IF(AND(8&gt;=WBS!$F120,8&lt;=WBS!$T120),IF(WBS!$L120="Done",3,IF(WBS!$L120="Doing",2,IF(WBS!$L120="Blocked",4,IF(WBS!$L120="Deferred",5,1)))),""))</f>
        <v/>
      </c>
      <c r="N120" s="58" t="str">
        <f>IF(OR(WBS!$F120="",WBS!$T120=""),"",IF(AND(9&gt;=WBS!$F120,9&lt;=WBS!$T120),IF(WBS!$L120="Done",3,IF(WBS!$L120="Doing",2,IF(WBS!$L120="Blocked",4,IF(WBS!$L120="Deferred",5,1)))),""))</f>
        <v/>
      </c>
      <c r="O120" s="58" t="str">
        <f>IF(OR(WBS!$F120="",WBS!$T120=""),"",IF(AND(10&gt;=WBS!$F120,10&lt;=WBS!$T120),IF(WBS!$L120="Done",3,IF(WBS!$L120="Doing",2,IF(WBS!$L120="Blocked",4,IF(WBS!$L120="Deferred",5,1)))),""))</f>
        <v/>
      </c>
      <c r="P120" s="58" t="str">
        <f>IF(OR(WBS!$F120="",WBS!$T120=""),"",IF(AND(11&gt;=WBS!$F120,11&lt;=WBS!$T120),IF(WBS!$L120="Done",3,IF(WBS!$L120="Doing",2,IF(WBS!$L120="Blocked",4,IF(WBS!$L120="Deferred",5,1)))),""))</f>
        <v/>
      </c>
      <c r="Q120" s="58" t="str">
        <f>IF(OR(WBS!$F120="",WBS!$T120=""),"",IF(AND(12&gt;=WBS!$F120,12&lt;=WBS!$T120),IF(WBS!$L120="Done",3,IF(WBS!$L120="Doing",2,IF(WBS!$L120="Blocked",4,IF(WBS!$L120="Deferred",5,1)))),""))</f>
        <v/>
      </c>
      <c r="R120" s="58" t="str">
        <f>IF(OR(WBS!$F120="",WBS!$T120=""),"",IF(AND(13&gt;=WBS!$F120,13&lt;=WBS!$T120),IF(WBS!$L120="Done",3,IF(WBS!$L120="Doing",2,IF(WBS!$L120="Blocked",4,IF(WBS!$L120="Deferred",5,1)))),""))</f>
        <v/>
      </c>
      <c r="S120" s="58" t="str">
        <f>IF(OR(WBS!$F120="",WBS!$T120=""),"",IF(AND(14&gt;=WBS!$F120,14&lt;=WBS!$T120),IF(WBS!$L120="Done",3,IF(WBS!$L120="Doing",2,IF(WBS!$L120="Blocked",4,IF(WBS!$L120="Deferred",5,1)))),""))</f>
        <v/>
      </c>
      <c r="T120" s="58" t="str">
        <f>IF(OR(WBS!$F120="",WBS!$T120=""),"",IF(AND(15&gt;=WBS!$F120,15&lt;=WBS!$T120),IF(WBS!$L120="Done",3,IF(WBS!$L120="Doing",2,IF(WBS!$L120="Blocked",4,IF(WBS!$L120="Deferred",5,1)))),""))</f>
        <v/>
      </c>
      <c r="U120" s="58" t="str">
        <f>IF(OR(WBS!$F120="",WBS!$T120=""),"",IF(AND(16&gt;=WBS!$F120,16&lt;=WBS!$T120),IF(WBS!$L120="Done",3,IF(WBS!$L120="Doing",2,IF(WBS!$L120="Blocked",4,IF(WBS!$L120="Deferred",5,1)))),""))</f>
        <v/>
      </c>
      <c r="V120" s="58">
        <f>IF(OR(WBS!$F120="",WBS!$T120=""),"",IF(AND(17&gt;=WBS!$F120,17&lt;=WBS!$T120),IF(WBS!$L120="Done",3,IF(WBS!$L120="Doing",2,IF(WBS!$L120="Blocked",4,IF(WBS!$L120="Deferred",5,1)))),""))</f>
        <v>1</v>
      </c>
      <c r="W120" s="58" t="str">
        <f>IF(OR(WBS!$F120="",WBS!$T120=""),"",IF(AND(18&gt;=WBS!$F120,18&lt;=WBS!$T120),IF(WBS!$L120="Done",3,IF(WBS!$L120="Doing",2,IF(WBS!$L120="Blocked",4,IF(WBS!$L120="Deferred",5,1)))),""))</f>
        <v/>
      </c>
      <c r="X120" s="58" t="str">
        <f>IF(OR(WBS!$F120="",WBS!$T120=""),"",IF(AND(19&gt;=WBS!$F120,19&lt;=WBS!$T120),IF(WBS!$L120="Done",3,IF(WBS!$L120="Doing",2,IF(WBS!$L120="Blocked",4,IF(WBS!$L120="Deferred",5,1)))),""))</f>
        <v/>
      </c>
      <c r="Y120" s="58" t="str">
        <f>IF(OR(WBS!$F120="",WBS!$T120=""),"",IF(AND(20&gt;=WBS!$F120,20&lt;=WBS!$T120),IF(WBS!$L120="Done",3,IF(WBS!$L120="Doing",2,IF(WBS!$L120="Blocked",4,IF(WBS!$L120="Deferred",5,1)))),""))</f>
        <v/>
      </c>
      <c r="Z120" s="58" t="str">
        <f>IF(OR(WBS!$F120="",WBS!$T120=""),"",IF(AND(21&gt;=WBS!$F120,21&lt;=WBS!$T120),IF(WBS!$L120="Done",3,IF(WBS!$L120="Doing",2,IF(WBS!$L120="Blocked",4,IF(WBS!$L120="Deferred",5,1)))),""))</f>
        <v/>
      </c>
    </row>
    <row r="121" spans="1:26" x14ac:dyDescent="0.3">
      <c r="A121" s="64" t="str">
        <f>WBS!$A121</f>
        <v>7.3.4</v>
      </c>
      <c r="B121" s="65" t="str">
        <f>WBS!$C121</f>
        <v xml:space="preserve">        Fix or formally accept every security finding in writing</v>
      </c>
      <c r="C121" s="66" t="str">
        <f>IF(WBS!$E121="","",WBS!$E121)</f>
        <v>SEC</v>
      </c>
      <c r="D121" s="67">
        <f>WBS!$J121</f>
        <v>3</v>
      </c>
      <c r="E121" s="68">
        <f>WBS!$M121</f>
        <v>0</v>
      </c>
      <c r="F121" s="58" t="str">
        <f>IF(OR(WBS!$F121="",WBS!$T121=""),"",IF(AND(1&gt;=WBS!$F121,1&lt;=WBS!$T121),IF(WBS!$L121="Done",3,IF(WBS!$L121="Doing",2,IF(WBS!$L121="Blocked",4,IF(WBS!$L121="Deferred",5,1)))),""))</f>
        <v/>
      </c>
      <c r="G121" s="58" t="str">
        <f>IF(OR(WBS!$F121="",WBS!$T121=""),"",IF(AND(2&gt;=WBS!$F121,2&lt;=WBS!$T121),IF(WBS!$L121="Done",3,IF(WBS!$L121="Doing",2,IF(WBS!$L121="Blocked",4,IF(WBS!$L121="Deferred",5,1)))),""))</f>
        <v/>
      </c>
      <c r="H121" s="58" t="str">
        <f>IF(OR(WBS!$F121="",WBS!$T121=""),"",IF(AND(3&gt;=WBS!$F121,3&lt;=WBS!$T121),IF(WBS!$L121="Done",3,IF(WBS!$L121="Doing",2,IF(WBS!$L121="Blocked",4,IF(WBS!$L121="Deferred",5,1)))),""))</f>
        <v/>
      </c>
      <c r="I121" s="58" t="str">
        <f>IF(OR(WBS!$F121="",WBS!$T121=""),"",IF(AND(4&gt;=WBS!$F121,4&lt;=WBS!$T121),IF(WBS!$L121="Done",3,IF(WBS!$L121="Doing",2,IF(WBS!$L121="Blocked",4,IF(WBS!$L121="Deferred",5,1)))),""))</f>
        <v/>
      </c>
      <c r="J121" s="58" t="str">
        <f>IF(OR(WBS!$F121="",WBS!$T121=""),"",IF(AND(5&gt;=WBS!$F121,5&lt;=WBS!$T121),IF(WBS!$L121="Done",3,IF(WBS!$L121="Doing",2,IF(WBS!$L121="Blocked",4,IF(WBS!$L121="Deferred",5,1)))),""))</f>
        <v/>
      </c>
      <c r="K121" s="58" t="str">
        <f>IF(OR(WBS!$F121="",WBS!$T121=""),"",IF(AND(6&gt;=WBS!$F121,6&lt;=WBS!$T121),IF(WBS!$L121="Done",3,IF(WBS!$L121="Doing",2,IF(WBS!$L121="Blocked",4,IF(WBS!$L121="Deferred",5,1)))),""))</f>
        <v/>
      </c>
      <c r="L121" s="58" t="str">
        <f>IF(OR(WBS!$F121="",WBS!$T121=""),"",IF(AND(7&gt;=WBS!$F121,7&lt;=WBS!$T121),IF(WBS!$L121="Done",3,IF(WBS!$L121="Doing",2,IF(WBS!$L121="Blocked",4,IF(WBS!$L121="Deferred",5,1)))),""))</f>
        <v/>
      </c>
      <c r="M121" s="58" t="str">
        <f>IF(OR(WBS!$F121="",WBS!$T121=""),"",IF(AND(8&gt;=WBS!$F121,8&lt;=WBS!$T121),IF(WBS!$L121="Done",3,IF(WBS!$L121="Doing",2,IF(WBS!$L121="Blocked",4,IF(WBS!$L121="Deferred",5,1)))),""))</f>
        <v/>
      </c>
      <c r="N121" s="58" t="str">
        <f>IF(OR(WBS!$F121="",WBS!$T121=""),"",IF(AND(9&gt;=WBS!$F121,9&lt;=WBS!$T121),IF(WBS!$L121="Done",3,IF(WBS!$L121="Doing",2,IF(WBS!$L121="Blocked",4,IF(WBS!$L121="Deferred",5,1)))),""))</f>
        <v/>
      </c>
      <c r="O121" s="58" t="str">
        <f>IF(OR(WBS!$F121="",WBS!$T121=""),"",IF(AND(10&gt;=WBS!$F121,10&lt;=WBS!$T121),IF(WBS!$L121="Done",3,IF(WBS!$L121="Doing",2,IF(WBS!$L121="Blocked",4,IF(WBS!$L121="Deferred",5,1)))),""))</f>
        <v/>
      </c>
      <c r="P121" s="58" t="str">
        <f>IF(OR(WBS!$F121="",WBS!$T121=""),"",IF(AND(11&gt;=WBS!$F121,11&lt;=WBS!$T121),IF(WBS!$L121="Done",3,IF(WBS!$L121="Doing",2,IF(WBS!$L121="Blocked",4,IF(WBS!$L121="Deferred",5,1)))),""))</f>
        <v/>
      </c>
      <c r="Q121" s="58" t="str">
        <f>IF(OR(WBS!$F121="",WBS!$T121=""),"",IF(AND(12&gt;=WBS!$F121,12&lt;=WBS!$T121),IF(WBS!$L121="Done",3,IF(WBS!$L121="Doing",2,IF(WBS!$L121="Blocked",4,IF(WBS!$L121="Deferred",5,1)))),""))</f>
        <v/>
      </c>
      <c r="R121" s="58" t="str">
        <f>IF(OR(WBS!$F121="",WBS!$T121=""),"",IF(AND(13&gt;=WBS!$F121,13&lt;=WBS!$T121),IF(WBS!$L121="Done",3,IF(WBS!$L121="Doing",2,IF(WBS!$L121="Blocked",4,IF(WBS!$L121="Deferred",5,1)))),""))</f>
        <v/>
      </c>
      <c r="S121" s="58" t="str">
        <f>IF(OR(WBS!$F121="",WBS!$T121=""),"",IF(AND(14&gt;=WBS!$F121,14&lt;=WBS!$T121),IF(WBS!$L121="Done",3,IF(WBS!$L121="Doing",2,IF(WBS!$L121="Blocked",4,IF(WBS!$L121="Deferred",5,1)))),""))</f>
        <v/>
      </c>
      <c r="T121" s="58" t="str">
        <f>IF(OR(WBS!$F121="",WBS!$T121=""),"",IF(AND(15&gt;=WBS!$F121,15&lt;=WBS!$T121),IF(WBS!$L121="Done",3,IF(WBS!$L121="Doing",2,IF(WBS!$L121="Blocked",4,IF(WBS!$L121="Deferred",5,1)))),""))</f>
        <v/>
      </c>
      <c r="U121" s="58" t="str">
        <f>IF(OR(WBS!$F121="",WBS!$T121=""),"",IF(AND(16&gt;=WBS!$F121,16&lt;=WBS!$T121),IF(WBS!$L121="Done",3,IF(WBS!$L121="Doing",2,IF(WBS!$L121="Blocked",4,IF(WBS!$L121="Deferred",5,1)))),""))</f>
        <v/>
      </c>
      <c r="V121" s="58">
        <f>IF(OR(WBS!$F121="",WBS!$T121=""),"",IF(AND(17&gt;=WBS!$F121,17&lt;=WBS!$T121),IF(WBS!$L121="Done",3,IF(WBS!$L121="Doing",2,IF(WBS!$L121="Blocked",4,IF(WBS!$L121="Deferred",5,1)))),""))</f>
        <v>1</v>
      </c>
      <c r="W121" s="58" t="str">
        <f>IF(OR(WBS!$F121="",WBS!$T121=""),"",IF(AND(18&gt;=WBS!$F121,18&lt;=WBS!$T121),IF(WBS!$L121="Done",3,IF(WBS!$L121="Doing",2,IF(WBS!$L121="Blocked",4,IF(WBS!$L121="Deferred",5,1)))),""))</f>
        <v/>
      </c>
      <c r="X121" s="58" t="str">
        <f>IF(OR(WBS!$F121="",WBS!$T121=""),"",IF(AND(19&gt;=WBS!$F121,19&lt;=WBS!$T121),IF(WBS!$L121="Done",3,IF(WBS!$L121="Doing",2,IF(WBS!$L121="Blocked",4,IF(WBS!$L121="Deferred",5,1)))),""))</f>
        <v/>
      </c>
      <c r="Y121" s="58" t="str">
        <f>IF(OR(WBS!$F121="",WBS!$T121=""),"",IF(AND(20&gt;=WBS!$F121,20&lt;=WBS!$T121),IF(WBS!$L121="Done",3,IF(WBS!$L121="Doing",2,IF(WBS!$L121="Blocked",4,IF(WBS!$L121="Deferred",5,1)))),""))</f>
        <v/>
      </c>
      <c r="Z121" s="58" t="str">
        <f>IF(OR(WBS!$F121="",WBS!$T121=""),"",IF(AND(21&gt;=WBS!$F121,21&lt;=WBS!$T121),IF(WBS!$L121="Done",3,IF(WBS!$L121="Doing",2,IF(WBS!$L121="Blocked",4,IF(WBS!$L121="Deferred",5,1)))),""))</f>
        <v/>
      </c>
    </row>
    <row r="122" spans="1:26" x14ac:dyDescent="0.3">
      <c r="A122" s="59" t="str">
        <f>WBS!$A122</f>
        <v>7.4</v>
      </c>
      <c r="B122" s="60" t="str">
        <f>WBS!$C122</f>
        <v xml:space="preserve">    Accessibility</v>
      </c>
      <c r="C122" s="61" t="str">
        <f>IF(WBS!$E122="","",WBS!$E122)</f>
        <v/>
      </c>
      <c r="D122" s="62">
        <f>WBS!$J122</f>
        <v>3.5</v>
      </c>
      <c r="E122" s="63">
        <f>WBS!$M122</f>
        <v>0</v>
      </c>
      <c r="F122" s="58" t="str">
        <f>IF(OR(WBS!$F122="",WBS!$T122=""),"",IF(AND(1&gt;=WBS!$F122,1&lt;=WBS!$T122),IF(WBS!$L122="Done",3,IF(WBS!$L122="Doing",2,IF(WBS!$L122="Blocked",4,IF(WBS!$L122="Deferred",5,1)))),""))</f>
        <v/>
      </c>
      <c r="G122" s="58" t="str">
        <f>IF(OR(WBS!$F122="",WBS!$T122=""),"",IF(AND(2&gt;=WBS!$F122,2&lt;=WBS!$T122),IF(WBS!$L122="Done",3,IF(WBS!$L122="Doing",2,IF(WBS!$L122="Blocked",4,IF(WBS!$L122="Deferred",5,1)))),""))</f>
        <v/>
      </c>
      <c r="H122" s="58" t="str">
        <f>IF(OR(WBS!$F122="",WBS!$T122=""),"",IF(AND(3&gt;=WBS!$F122,3&lt;=WBS!$T122),IF(WBS!$L122="Done",3,IF(WBS!$L122="Doing",2,IF(WBS!$L122="Blocked",4,IF(WBS!$L122="Deferred",5,1)))),""))</f>
        <v/>
      </c>
      <c r="I122" s="58" t="str">
        <f>IF(OR(WBS!$F122="",WBS!$T122=""),"",IF(AND(4&gt;=WBS!$F122,4&lt;=WBS!$T122),IF(WBS!$L122="Done",3,IF(WBS!$L122="Doing",2,IF(WBS!$L122="Blocked",4,IF(WBS!$L122="Deferred",5,1)))),""))</f>
        <v/>
      </c>
      <c r="J122" s="58" t="str">
        <f>IF(OR(WBS!$F122="",WBS!$T122=""),"",IF(AND(5&gt;=WBS!$F122,5&lt;=WBS!$T122),IF(WBS!$L122="Done",3,IF(WBS!$L122="Doing",2,IF(WBS!$L122="Blocked",4,IF(WBS!$L122="Deferred",5,1)))),""))</f>
        <v/>
      </c>
      <c r="K122" s="58" t="str">
        <f>IF(OR(WBS!$F122="",WBS!$T122=""),"",IF(AND(6&gt;=WBS!$F122,6&lt;=WBS!$T122),IF(WBS!$L122="Done",3,IF(WBS!$L122="Doing",2,IF(WBS!$L122="Blocked",4,IF(WBS!$L122="Deferred",5,1)))),""))</f>
        <v/>
      </c>
      <c r="L122" s="58" t="str">
        <f>IF(OR(WBS!$F122="",WBS!$T122=""),"",IF(AND(7&gt;=WBS!$F122,7&lt;=WBS!$T122),IF(WBS!$L122="Done",3,IF(WBS!$L122="Doing",2,IF(WBS!$L122="Blocked",4,IF(WBS!$L122="Deferred",5,1)))),""))</f>
        <v/>
      </c>
      <c r="M122" s="58" t="str">
        <f>IF(OR(WBS!$F122="",WBS!$T122=""),"",IF(AND(8&gt;=WBS!$F122,8&lt;=WBS!$T122),IF(WBS!$L122="Done",3,IF(WBS!$L122="Doing",2,IF(WBS!$L122="Blocked",4,IF(WBS!$L122="Deferred",5,1)))),""))</f>
        <v/>
      </c>
      <c r="N122" s="58" t="str">
        <f>IF(OR(WBS!$F122="",WBS!$T122=""),"",IF(AND(9&gt;=WBS!$F122,9&lt;=WBS!$T122),IF(WBS!$L122="Done",3,IF(WBS!$L122="Doing",2,IF(WBS!$L122="Blocked",4,IF(WBS!$L122="Deferred",5,1)))),""))</f>
        <v/>
      </c>
      <c r="O122" s="58" t="str">
        <f>IF(OR(WBS!$F122="",WBS!$T122=""),"",IF(AND(10&gt;=WBS!$F122,10&lt;=WBS!$T122),IF(WBS!$L122="Done",3,IF(WBS!$L122="Doing",2,IF(WBS!$L122="Blocked",4,IF(WBS!$L122="Deferred",5,1)))),""))</f>
        <v/>
      </c>
      <c r="P122" s="58" t="str">
        <f>IF(OR(WBS!$F122="",WBS!$T122=""),"",IF(AND(11&gt;=WBS!$F122,11&lt;=WBS!$T122),IF(WBS!$L122="Done",3,IF(WBS!$L122="Doing",2,IF(WBS!$L122="Blocked",4,IF(WBS!$L122="Deferred",5,1)))),""))</f>
        <v/>
      </c>
      <c r="Q122" s="58" t="str">
        <f>IF(OR(WBS!$F122="",WBS!$T122=""),"",IF(AND(12&gt;=WBS!$F122,12&lt;=WBS!$T122),IF(WBS!$L122="Done",3,IF(WBS!$L122="Doing",2,IF(WBS!$L122="Blocked",4,IF(WBS!$L122="Deferred",5,1)))),""))</f>
        <v/>
      </c>
      <c r="R122" s="58" t="str">
        <f>IF(OR(WBS!$F122="",WBS!$T122=""),"",IF(AND(13&gt;=WBS!$F122,13&lt;=WBS!$T122),IF(WBS!$L122="Done",3,IF(WBS!$L122="Doing",2,IF(WBS!$L122="Blocked",4,IF(WBS!$L122="Deferred",5,1)))),""))</f>
        <v/>
      </c>
      <c r="S122" s="58" t="str">
        <f>IF(OR(WBS!$F122="",WBS!$T122=""),"",IF(AND(14&gt;=WBS!$F122,14&lt;=WBS!$T122),IF(WBS!$L122="Done",3,IF(WBS!$L122="Doing",2,IF(WBS!$L122="Blocked",4,IF(WBS!$L122="Deferred",5,1)))),""))</f>
        <v/>
      </c>
      <c r="T122" s="58" t="str">
        <f>IF(OR(WBS!$F122="",WBS!$T122=""),"",IF(AND(15&gt;=WBS!$F122,15&lt;=WBS!$T122),IF(WBS!$L122="Done",3,IF(WBS!$L122="Doing",2,IF(WBS!$L122="Blocked",4,IF(WBS!$L122="Deferred",5,1)))),""))</f>
        <v/>
      </c>
      <c r="U122" s="58" t="str">
        <f>IF(OR(WBS!$F122="",WBS!$T122=""),"",IF(AND(16&gt;=WBS!$F122,16&lt;=WBS!$T122),IF(WBS!$L122="Done",3,IF(WBS!$L122="Doing",2,IF(WBS!$L122="Blocked",4,IF(WBS!$L122="Deferred",5,1)))),""))</f>
        <v/>
      </c>
      <c r="V122" s="58" t="str">
        <f>IF(OR(WBS!$F122="",WBS!$T122=""),"",IF(AND(17&gt;=WBS!$F122,17&lt;=WBS!$T122),IF(WBS!$L122="Done",3,IF(WBS!$L122="Doing",2,IF(WBS!$L122="Blocked",4,IF(WBS!$L122="Deferred",5,1)))),""))</f>
        <v/>
      </c>
      <c r="W122" s="58">
        <f>IF(OR(WBS!$F122="",WBS!$T122=""),"",IF(AND(18&gt;=WBS!$F122,18&lt;=WBS!$T122),IF(WBS!$L122="Done",3,IF(WBS!$L122="Doing",2,IF(WBS!$L122="Blocked",4,IF(WBS!$L122="Deferred",5,1)))),""))</f>
        <v>1</v>
      </c>
      <c r="X122" s="58" t="str">
        <f>IF(OR(WBS!$F122="",WBS!$T122=""),"",IF(AND(19&gt;=WBS!$F122,19&lt;=WBS!$T122),IF(WBS!$L122="Done",3,IF(WBS!$L122="Doing",2,IF(WBS!$L122="Blocked",4,IF(WBS!$L122="Deferred",5,1)))),""))</f>
        <v/>
      </c>
      <c r="Y122" s="58" t="str">
        <f>IF(OR(WBS!$F122="",WBS!$T122=""),"",IF(AND(20&gt;=WBS!$F122,20&lt;=WBS!$T122),IF(WBS!$L122="Done",3,IF(WBS!$L122="Doing",2,IF(WBS!$L122="Blocked",4,IF(WBS!$L122="Deferred",5,1)))),""))</f>
        <v/>
      </c>
      <c r="Z122" s="58" t="str">
        <f>IF(OR(WBS!$F122="",WBS!$T122=""),"",IF(AND(21&gt;=WBS!$F122,21&lt;=WBS!$T122),IF(WBS!$L122="Done",3,IF(WBS!$L122="Doing",2,IF(WBS!$L122="Blocked",4,IF(WBS!$L122="Deferred",5,1)))),""))</f>
        <v/>
      </c>
    </row>
    <row r="123" spans="1:26" x14ac:dyDescent="0.3">
      <c r="A123" s="64" t="str">
        <f>WBS!$A123</f>
        <v>7.4.1</v>
      </c>
      <c r="B123" s="65" t="str">
        <f>WBS!$C123</f>
        <v xml:space="preserve">        axe, keyboard, screen reader, contrast and dynamic type pass</v>
      </c>
      <c r="C123" s="66" t="str">
        <f>IF(WBS!$E123="","",WBS!$E123)</f>
        <v>UX</v>
      </c>
      <c r="D123" s="67">
        <f>WBS!$J123</f>
        <v>3</v>
      </c>
      <c r="E123" s="68">
        <f>WBS!$M123</f>
        <v>0</v>
      </c>
      <c r="F123" s="58" t="str">
        <f>IF(OR(WBS!$F123="",WBS!$T123=""),"",IF(AND(1&gt;=WBS!$F123,1&lt;=WBS!$T123),IF(WBS!$L123="Done",3,IF(WBS!$L123="Doing",2,IF(WBS!$L123="Blocked",4,IF(WBS!$L123="Deferred",5,1)))),""))</f>
        <v/>
      </c>
      <c r="G123" s="58" t="str">
        <f>IF(OR(WBS!$F123="",WBS!$T123=""),"",IF(AND(2&gt;=WBS!$F123,2&lt;=WBS!$T123),IF(WBS!$L123="Done",3,IF(WBS!$L123="Doing",2,IF(WBS!$L123="Blocked",4,IF(WBS!$L123="Deferred",5,1)))),""))</f>
        <v/>
      </c>
      <c r="H123" s="58" t="str">
        <f>IF(OR(WBS!$F123="",WBS!$T123=""),"",IF(AND(3&gt;=WBS!$F123,3&lt;=WBS!$T123),IF(WBS!$L123="Done",3,IF(WBS!$L123="Doing",2,IF(WBS!$L123="Blocked",4,IF(WBS!$L123="Deferred",5,1)))),""))</f>
        <v/>
      </c>
      <c r="I123" s="58" t="str">
        <f>IF(OR(WBS!$F123="",WBS!$T123=""),"",IF(AND(4&gt;=WBS!$F123,4&lt;=WBS!$T123),IF(WBS!$L123="Done",3,IF(WBS!$L123="Doing",2,IF(WBS!$L123="Blocked",4,IF(WBS!$L123="Deferred",5,1)))),""))</f>
        <v/>
      </c>
      <c r="J123" s="58" t="str">
        <f>IF(OR(WBS!$F123="",WBS!$T123=""),"",IF(AND(5&gt;=WBS!$F123,5&lt;=WBS!$T123),IF(WBS!$L123="Done",3,IF(WBS!$L123="Doing",2,IF(WBS!$L123="Blocked",4,IF(WBS!$L123="Deferred",5,1)))),""))</f>
        <v/>
      </c>
      <c r="K123" s="58" t="str">
        <f>IF(OR(WBS!$F123="",WBS!$T123=""),"",IF(AND(6&gt;=WBS!$F123,6&lt;=WBS!$T123),IF(WBS!$L123="Done",3,IF(WBS!$L123="Doing",2,IF(WBS!$L123="Blocked",4,IF(WBS!$L123="Deferred",5,1)))),""))</f>
        <v/>
      </c>
      <c r="L123" s="58" t="str">
        <f>IF(OR(WBS!$F123="",WBS!$T123=""),"",IF(AND(7&gt;=WBS!$F123,7&lt;=WBS!$T123),IF(WBS!$L123="Done",3,IF(WBS!$L123="Doing",2,IF(WBS!$L123="Blocked",4,IF(WBS!$L123="Deferred",5,1)))),""))</f>
        <v/>
      </c>
      <c r="M123" s="58" t="str">
        <f>IF(OR(WBS!$F123="",WBS!$T123=""),"",IF(AND(8&gt;=WBS!$F123,8&lt;=WBS!$T123),IF(WBS!$L123="Done",3,IF(WBS!$L123="Doing",2,IF(WBS!$L123="Blocked",4,IF(WBS!$L123="Deferred",5,1)))),""))</f>
        <v/>
      </c>
      <c r="N123" s="58" t="str">
        <f>IF(OR(WBS!$F123="",WBS!$T123=""),"",IF(AND(9&gt;=WBS!$F123,9&lt;=WBS!$T123),IF(WBS!$L123="Done",3,IF(WBS!$L123="Doing",2,IF(WBS!$L123="Blocked",4,IF(WBS!$L123="Deferred",5,1)))),""))</f>
        <v/>
      </c>
      <c r="O123" s="58" t="str">
        <f>IF(OR(WBS!$F123="",WBS!$T123=""),"",IF(AND(10&gt;=WBS!$F123,10&lt;=WBS!$T123),IF(WBS!$L123="Done",3,IF(WBS!$L123="Doing",2,IF(WBS!$L123="Blocked",4,IF(WBS!$L123="Deferred",5,1)))),""))</f>
        <v/>
      </c>
      <c r="P123" s="58" t="str">
        <f>IF(OR(WBS!$F123="",WBS!$T123=""),"",IF(AND(11&gt;=WBS!$F123,11&lt;=WBS!$T123),IF(WBS!$L123="Done",3,IF(WBS!$L123="Doing",2,IF(WBS!$L123="Blocked",4,IF(WBS!$L123="Deferred",5,1)))),""))</f>
        <v/>
      </c>
      <c r="Q123" s="58" t="str">
        <f>IF(OR(WBS!$F123="",WBS!$T123=""),"",IF(AND(12&gt;=WBS!$F123,12&lt;=WBS!$T123),IF(WBS!$L123="Done",3,IF(WBS!$L123="Doing",2,IF(WBS!$L123="Blocked",4,IF(WBS!$L123="Deferred",5,1)))),""))</f>
        <v/>
      </c>
      <c r="R123" s="58" t="str">
        <f>IF(OR(WBS!$F123="",WBS!$T123=""),"",IF(AND(13&gt;=WBS!$F123,13&lt;=WBS!$T123),IF(WBS!$L123="Done",3,IF(WBS!$L123="Doing",2,IF(WBS!$L123="Blocked",4,IF(WBS!$L123="Deferred",5,1)))),""))</f>
        <v/>
      </c>
      <c r="S123" s="58" t="str">
        <f>IF(OR(WBS!$F123="",WBS!$T123=""),"",IF(AND(14&gt;=WBS!$F123,14&lt;=WBS!$T123),IF(WBS!$L123="Done",3,IF(WBS!$L123="Doing",2,IF(WBS!$L123="Blocked",4,IF(WBS!$L123="Deferred",5,1)))),""))</f>
        <v/>
      </c>
      <c r="T123" s="58" t="str">
        <f>IF(OR(WBS!$F123="",WBS!$T123=""),"",IF(AND(15&gt;=WBS!$F123,15&lt;=WBS!$T123),IF(WBS!$L123="Done",3,IF(WBS!$L123="Doing",2,IF(WBS!$L123="Blocked",4,IF(WBS!$L123="Deferred",5,1)))),""))</f>
        <v/>
      </c>
      <c r="U123" s="58" t="str">
        <f>IF(OR(WBS!$F123="",WBS!$T123=""),"",IF(AND(16&gt;=WBS!$F123,16&lt;=WBS!$T123),IF(WBS!$L123="Done",3,IF(WBS!$L123="Doing",2,IF(WBS!$L123="Blocked",4,IF(WBS!$L123="Deferred",5,1)))),""))</f>
        <v/>
      </c>
      <c r="V123" s="58" t="str">
        <f>IF(OR(WBS!$F123="",WBS!$T123=""),"",IF(AND(17&gt;=WBS!$F123,17&lt;=WBS!$T123),IF(WBS!$L123="Done",3,IF(WBS!$L123="Doing",2,IF(WBS!$L123="Blocked",4,IF(WBS!$L123="Deferred",5,1)))),""))</f>
        <v/>
      </c>
      <c r="W123" s="58">
        <f>IF(OR(WBS!$F123="",WBS!$T123=""),"",IF(AND(18&gt;=WBS!$F123,18&lt;=WBS!$T123),IF(WBS!$L123="Done",3,IF(WBS!$L123="Doing",2,IF(WBS!$L123="Blocked",4,IF(WBS!$L123="Deferred",5,1)))),""))</f>
        <v>1</v>
      </c>
      <c r="X123" s="58" t="str">
        <f>IF(OR(WBS!$F123="",WBS!$T123=""),"",IF(AND(19&gt;=WBS!$F123,19&lt;=WBS!$T123),IF(WBS!$L123="Done",3,IF(WBS!$L123="Doing",2,IF(WBS!$L123="Blocked",4,IF(WBS!$L123="Deferred",5,1)))),""))</f>
        <v/>
      </c>
      <c r="Y123" s="58" t="str">
        <f>IF(OR(WBS!$F123="",WBS!$T123=""),"",IF(AND(20&gt;=WBS!$F123,20&lt;=WBS!$T123),IF(WBS!$L123="Done",3,IF(WBS!$L123="Doing",2,IF(WBS!$L123="Blocked",4,IF(WBS!$L123="Deferred",5,1)))),""))</f>
        <v/>
      </c>
      <c r="Z123" s="58" t="str">
        <f>IF(OR(WBS!$F123="",WBS!$T123=""),"",IF(AND(21&gt;=WBS!$F123,21&lt;=WBS!$T123),IF(WBS!$L123="Done",3,IF(WBS!$L123="Doing",2,IF(WBS!$L123="Blocked",4,IF(WBS!$L123="Deferred",5,1)))),""))</f>
        <v/>
      </c>
    </row>
    <row r="124" spans="1:26" x14ac:dyDescent="0.3">
      <c r="A124" s="64" t="str">
        <f>WBS!$A124</f>
        <v>7.4.2</v>
      </c>
      <c r="B124" s="65" t="str">
        <f>WBS!$C124</f>
        <v xml:space="preserve">        Display legibility verification at five to ten metres</v>
      </c>
      <c r="C124" s="66" t="str">
        <f>IF(WBS!$E124="","",WBS!$E124)</f>
        <v>UX</v>
      </c>
      <c r="D124" s="67">
        <f>WBS!$J124</f>
        <v>0.5</v>
      </c>
      <c r="E124" s="68">
        <f>WBS!$M124</f>
        <v>0</v>
      </c>
      <c r="F124" s="58" t="str">
        <f>IF(OR(WBS!$F124="",WBS!$T124=""),"",IF(AND(1&gt;=WBS!$F124,1&lt;=WBS!$T124),IF(WBS!$L124="Done",3,IF(WBS!$L124="Doing",2,IF(WBS!$L124="Blocked",4,IF(WBS!$L124="Deferred",5,1)))),""))</f>
        <v/>
      </c>
      <c r="G124" s="58" t="str">
        <f>IF(OR(WBS!$F124="",WBS!$T124=""),"",IF(AND(2&gt;=WBS!$F124,2&lt;=WBS!$T124),IF(WBS!$L124="Done",3,IF(WBS!$L124="Doing",2,IF(WBS!$L124="Blocked",4,IF(WBS!$L124="Deferred",5,1)))),""))</f>
        <v/>
      </c>
      <c r="H124" s="58" t="str">
        <f>IF(OR(WBS!$F124="",WBS!$T124=""),"",IF(AND(3&gt;=WBS!$F124,3&lt;=WBS!$T124),IF(WBS!$L124="Done",3,IF(WBS!$L124="Doing",2,IF(WBS!$L124="Blocked",4,IF(WBS!$L124="Deferred",5,1)))),""))</f>
        <v/>
      </c>
      <c r="I124" s="58" t="str">
        <f>IF(OR(WBS!$F124="",WBS!$T124=""),"",IF(AND(4&gt;=WBS!$F124,4&lt;=WBS!$T124),IF(WBS!$L124="Done",3,IF(WBS!$L124="Doing",2,IF(WBS!$L124="Blocked",4,IF(WBS!$L124="Deferred",5,1)))),""))</f>
        <v/>
      </c>
      <c r="J124" s="58" t="str">
        <f>IF(OR(WBS!$F124="",WBS!$T124=""),"",IF(AND(5&gt;=WBS!$F124,5&lt;=WBS!$T124),IF(WBS!$L124="Done",3,IF(WBS!$L124="Doing",2,IF(WBS!$L124="Blocked",4,IF(WBS!$L124="Deferred",5,1)))),""))</f>
        <v/>
      </c>
      <c r="K124" s="58" t="str">
        <f>IF(OR(WBS!$F124="",WBS!$T124=""),"",IF(AND(6&gt;=WBS!$F124,6&lt;=WBS!$T124),IF(WBS!$L124="Done",3,IF(WBS!$L124="Doing",2,IF(WBS!$L124="Blocked",4,IF(WBS!$L124="Deferred",5,1)))),""))</f>
        <v/>
      </c>
      <c r="L124" s="58" t="str">
        <f>IF(OR(WBS!$F124="",WBS!$T124=""),"",IF(AND(7&gt;=WBS!$F124,7&lt;=WBS!$T124),IF(WBS!$L124="Done",3,IF(WBS!$L124="Doing",2,IF(WBS!$L124="Blocked",4,IF(WBS!$L124="Deferred",5,1)))),""))</f>
        <v/>
      </c>
      <c r="M124" s="58" t="str">
        <f>IF(OR(WBS!$F124="",WBS!$T124=""),"",IF(AND(8&gt;=WBS!$F124,8&lt;=WBS!$T124),IF(WBS!$L124="Done",3,IF(WBS!$L124="Doing",2,IF(WBS!$L124="Blocked",4,IF(WBS!$L124="Deferred",5,1)))),""))</f>
        <v/>
      </c>
      <c r="N124" s="58" t="str">
        <f>IF(OR(WBS!$F124="",WBS!$T124=""),"",IF(AND(9&gt;=WBS!$F124,9&lt;=WBS!$T124),IF(WBS!$L124="Done",3,IF(WBS!$L124="Doing",2,IF(WBS!$L124="Blocked",4,IF(WBS!$L124="Deferred",5,1)))),""))</f>
        <v/>
      </c>
      <c r="O124" s="58" t="str">
        <f>IF(OR(WBS!$F124="",WBS!$T124=""),"",IF(AND(10&gt;=WBS!$F124,10&lt;=WBS!$T124),IF(WBS!$L124="Done",3,IF(WBS!$L124="Doing",2,IF(WBS!$L124="Blocked",4,IF(WBS!$L124="Deferred",5,1)))),""))</f>
        <v/>
      </c>
      <c r="P124" s="58" t="str">
        <f>IF(OR(WBS!$F124="",WBS!$T124=""),"",IF(AND(11&gt;=WBS!$F124,11&lt;=WBS!$T124),IF(WBS!$L124="Done",3,IF(WBS!$L124="Doing",2,IF(WBS!$L124="Blocked",4,IF(WBS!$L124="Deferred",5,1)))),""))</f>
        <v/>
      </c>
      <c r="Q124" s="58" t="str">
        <f>IF(OR(WBS!$F124="",WBS!$T124=""),"",IF(AND(12&gt;=WBS!$F124,12&lt;=WBS!$T124),IF(WBS!$L124="Done",3,IF(WBS!$L124="Doing",2,IF(WBS!$L124="Blocked",4,IF(WBS!$L124="Deferred",5,1)))),""))</f>
        <v/>
      </c>
      <c r="R124" s="58" t="str">
        <f>IF(OR(WBS!$F124="",WBS!$T124=""),"",IF(AND(13&gt;=WBS!$F124,13&lt;=WBS!$T124),IF(WBS!$L124="Done",3,IF(WBS!$L124="Doing",2,IF(WBS!$L124="Blocked",4,IF(WBS!$L124="Deferred",5,1)))),""))</f>
        <v/>
      </c>
      <c r="S124" s="58" t="str">
        <f>IF(OR(WBS!$F124="",WBS!$T124=""),"",IF(AND(14&gt;=WBS!$F124,14&lt;=WBS!$T124),IF(WBS!$L124="Done",3,IF(WBS!$L124="Doing",2,IF(WBS!$L124="Blocked",4,IF(WBS!$L124="Deferred",5,1)))),""))</f>
        <v/>
      </c>
      <c r="T124" s="58" t="str">
        <f>IF(OR(WBS!$F124="",WBS!$T124=""),"",IF(AND(15&gt;=WBS!$F124,15&lt;=WBS!$T124),IF(WBS!$L124="Done",3,IF(WBS!$L124="Doing",2,IF(WBS!$L124="Blocked",4,IF(WBS!$L124="Deferred",5,1)))),""))</f>
        <v/>
      </c>
      <c r="U124" s="58" t="str">
        <f>IF(OR(WBS!$F124="",WBS!$T124=""),"",IF(AND(16&gt;=WBS!$F124,16&lt;=WBS!$T124),IF(WBS!$L124="Done",3,IF(WBS!$L124="Doing",2,IF(WBS!$L124="Blocked",4,IF(WBS!$L124="Deferred",5,1)))),""))</f>
        <v/>
      </c>
      <c r="V124" s="58" t="str">
        <f>IF(OR(WBS!$F124="",WBS!$T124=""),"",IF(AND(17&gt;=WBS!$F124,17&lt;=WBS!$T124),IF(WBS!$L124="Done",3,IF(WBS!$L124="Doing",2,IF(WBS!$L124="Blocked",4,IF(WBS!$L124="Deferred",5,1)))),""))</f>
        <v/>
      </c>
      <c r="W124" s="58">
        <f>IF(OR(WBS!$F124="",WBS!$T124=""),"",IF(AND(18&gt;=WBS!$F124,18&lt;=WBS!$T124),IF(WBS!$L124="Done",3,IF(WBS!$L124="Doing",2,IF(WBS!$L124="Blocked",4,IF(WBS!$L124="Deferred",5,1)))),""))</f>
        <v>1</v>
      </c>
      <c r="X124" s="58" t="str">
        <f>IF(OR(WBS!$F124="",WBS!$T124=""),"",IF(AND(19&gt;=WBS!$F124,19&lt;=WBS!$T124),IF(WBS!$L124="Done",3,IF(WBS!$L124="Doing",2,IF(WBS!$L124="Blocked",4,IF(WBS!$L124="Deferred",5,1)))),""))</f>
        <v/>
      </c>
      <c r="Y124" s="58" t="str">
        <f>IF(OR(WBS!$F124="",WBS!$T124=""),"",IF(AND(20&gt;=WBS!$F124,20&lt;=WBS!$T124),IF(WBS!$L124="Done",3,IF(WBS!$L124="Doing",2,IF(WBS!$L124="Blocked",4,IF(WBS!$L124="Deferred",5,1)))),""))</f>
        <v/>
      </c>
      <c r="Z124" s="58" t="str">
        <f>IF(OR(WBS!$F124="",WBS!$T124=""),"",IF(AND(21&gt;=WBS!$F124,21&lt;=WBS!$T124),IF(WBS!$L124="Done",3,IF(WBS!$L124="Doing",2,IF(WBS!$L124="Blocked",4,IF(WBS!$L124="Deferred",5,1)))),""))</f>
        <v/>
      </c>
    </row>
    <row r="125" spans="1:26" x14ac:dyDescent="0.3">
      <c r="A125" s="59" t="str">
        <f>WBS!$A125</f>
        <v>7.5</v>
      </c>
      <c r="B125" s="60" t="str">
        <f>WBS!$C125</f>
        <v xml:space="preserve">    Observability</v>
      </c>
      <c r="C125" s="61" t="str">
        <f>IF(WBS!$E125="","",WBS!$E125)</f>
        <v/>
      </c>
      <c r="D125" s="62">
        <f>WBS!$J125</f>
        <v>4.5</v>
      </c>
      <c r="E125" s="63">
        <f>WBS!$M125</f>
        <v>0</v>
      </c>
      <c r="F125" s="58" t="str">
        <f>IF(OR(WBS!$F125="",WBS!$T125=""),"",IF(AND(1&gt;=WBS!$F125,1&lt;=WBS!$T125),IF(WBS!$L125="Done",3,IF(WBS!$L125="Doing",2,IF(WBS!$L125="Blocked",4,IF(WBS!$L125="Deferred",5,1)))),""))</f>
        <v/>
      </c>
      <c r="G125" s="58" t="str">
        <f>IF(OR(WBS!$F125="",WBS!$T125=""),"",IF(AND(2&gt;=WBS!$F125,2&lt;=WBS!$T125),IF(WBS!$L125="Done",3,IF(WBS!$L125="Doing",2,IF(WBS!$L125="Blocked",4,IF(WBS!$L125="Deferred",5,1)))),""))</f>
        <v/>
      </c>
      <c r="H125" s="58" t="str">
        <f>IF(OR(WBS!$F125="",WBS!$T125=""),"",IF(AND(3&gt;=WBS!$F125,3&lt;=WBS!$T125),IF(WBS!$L125="Done",3,IF(WBS!$L125="Doing",2,IF(WBS!$L125="Blocked",4,IF(WBS!$L125="Deferred",5,1)))),""))</f>
        <v/>
      </c>
      <c r="I125" s="58" t="str">
        <f>IF(OR(WBS!$F125="",WBS!$T125=""),"",IF(AND(4&gt;=WBS!$F125,4&lt;=WBS!$T125),IF(WBS!$L125="Done",3,IF(WBS!$L125="Doing",2,IF(WBS!$L125="Blocked",4,IF(WBS!$L125="Deferred",5,1)))),""))</f>
        <v/>
      </c>
      <c r="J125" s="58" t="str">
        <f>IF(OR(WBS!$F125="",WBS!$T125=""),"",IF(AND(5&gt;=WBS!$F125,5&lt;=WBS!$T125),IF(WBS!$L125="Done",3,IF(WBS!$L125="Doing",2,IF(WBS!$L125="Blocked",4,IF(WBS!$L125="Deferred",5,1)))),""))</f>
        <v/>
      </c>
      <c r="K125" s="58" t="str">
        <f>IF(OR(WBS!$F125="",WBS!$T125=""),"",IF(AND(6&gt;=WBS!$F125,6&lt;=WBS!$T125),IF(WBS!$L125="Done",3,IF(WBS!$L125="Doing",2,IF(WBS!$L125="Blocked",4,IF(WBS!$L125="Deferred",5,1)))),""))</f>
        <v/>
      </c>
      <c r="L125" s="58" t="str">
        <f>IF(OR(WBS!$F125="",WBS!$T125=""),"",IF(AND(7&gt;=WBS!$F125,7&lt;=WBS!$T125),IF(WBS!$L125="Done",3,IF(WBS!$L125="Doing",2,IF(WBS!$L125="Blocked",4,IF(WBS!$L125="Deferred",5,1)))),""))</f>
        <v/>
      </c>
      <c r="M125" s="58" t="str">
        <f>IF(OR(WBS!$F125="",WBS!$T125=""),"",IF(AND(8&gt;=WBS!$F125,8&lt;=WBS!$T125),IF(WBS!$L125="Done",3,IF(WBS!$L125="Doing",2,IF(WBS!$L125="Blocked",4,IF(WBS!$L125="Deferred",5,1)))),""))</f>
        <v/>
      </c>
      <c r="N125" s="58" t="str">
        <f>IF(OR(WBS!$F125="",WBS!$T125=""),"",IF(AND(9&gt;=WBS!$F125,9&lt;=WBS!$T125),IF(WBS!$L125="Done",3,IF(WBS!$L125="Doing",2,IF(WBS!$L125="Blocked",4,IF(WBS!$L125="Deferred",5,1)))),""))</f>
        <v/>
      </c>
      <c r="O125" s="58" t="str">
        <f>IF(OR(WBS!$F125="",WBS!$T125=""),"",IF(AND(10&gt;=WBS!$F125,10&lt;=WBS!$T125),IF(WBS!$L125="Done",3,IF(WBS!$L125="Doing",2,IF(WBS!$L125="Blocked",4,IF(WBS!$L125="Deferred",5,1)))),""))</f>
        <v/>
      </c>
      <c r="P125" s="58" t="str">
        <f>IF(OR(WBS!$F125="",WBS!$T125=""),"",IF(AND(11&gt;=WBS!$F125,11&lt;=WBS!$T125),IF(WBS!$L125="Done",3,IF(WBS!$L125="Doing",2,IF(WBS!$L125="Blocked",4,IF(WBS!$L125="Deferred",5,1)))),""))</f>
        <v/>
      </c>
      <c r="Q125" s="58" t="str">
        <f>IF(OR(WBS!$F125="",WBS!$T125=""),"",IF(AND(12&gt;=WBS!$F125,12&lt;=WBS!$T125),IF(WBS!$L125="Done",3,IF(WBS!$L125="Doing",2,IF(WBS!$L125="Blocked",4,IF(WBS!$L125="Deferred",5,1)))),""))</f>
        <v/>
      </c>
      <c r="R125" s="58" t="str">
        <f>IF(OR(WBS!$F125="",WBS!$T125=""),"",IF(AND(13&gt;=WBS!$F125,13&lt;=WBS!$T125),IF(WBS!$L125="Done",3,IF(WBS!$L125="Doing",2,IF(WBS!$L125="Blocked",4,IF(WBS!$L125="Deferred",5,1)))),""))</f>
        <v/>
      </c>
      <c r="S125" s="58" t="str">
        <f>IF(OR(WBS!$F125="",WBS!$T125=""),"",IF(AND(14&gt;=WBS!$F125,14&lt;=WBS!$T125),IF(WBS!$L125="Done",3,IF(WBS!$L125="Doing",2,IF(WBS!$L125="Blocked",4,IF(WBS!$L125="Deferred",5,1)))),""))</f>
        <v/>
      </c>
      <c r="T125" s="58" t="str">
        <f>IF(OR(WBS!$F125="",WBS!$T125=""),"",IF(AND(15&gt;=WBS!$F125,15&lt;=WBS!$T125),IF(WBS!$L125="Done",3,IF(WBS!$L125="Doing",2,IF(WBS!$L125="Blocked",4,IF(WBS!$L125="Deferred",5,1)))),""))</f>
        <v/>
      </c>
      <c r="U125" s="58" t="str">
        <f>IF(OR(WBS!$F125="",WBS!$T125=""),"",IF(AND(16&gt;=WBS!$F125,16&lt;=WBS!$T125),IF(WBS!$L125="Done",3,IF(WBS!$L125="Doing",2,IF(WBS!$L125="Blocked",4,IF(WBS!$L125="Deferred",5,1)))),""))</f>
        <v/>
      </c>
      <c r="V125" s="58" t="str">
        <f>IF(OR(WBS!$F125="",WBS!$T125=""),"",IF(AND(17&gt;=WBS!$F125,17&lt;=WBS!$T125),IF(WBS!$L125="Done",3,IF(WBS!$L125="Doing",2,IF(WBS!$L125="Blocked",4,IF(WBS!$L125="Deferred",5,1)))),""))</f>
        <v/>
      </c>
      <c r="W125" s="58">
        <f>IF(OR(WBS!$F125="",WBS!$T125=""),"",IF(AND(18&gt;=WBS!$F125,18&lt;=WBS!$T125),IF(WBS!$L125="Done",3,IF(WBS!$L125="Doing",2,IF(WBS!$L125="Blocked",4,IF(WBS!$L125="Deferred",5,1)))),""))</f>
        <v>1</v>
      </c>
      <c r="X125" s="58" t="str">
        <f>IF(OR(WBS!$F125="",WBS!$T125=""),"",IF(AND(19&gt;=WBS!$F125,19&lt;=WBS!$T125),IF(WBS!$L125="Done",3,IF(WBS!$L125="Doing",2,IF(WBS!$L125="Blocked",4,IF(WBS!$L125="Deferred",5,1)))),""))</f>
        <v/>
      </c>
      <c r="Y125" s="58" t="str">
        <f>IF(OR(WBS!$F125="",WBS!$T125=""),"",IF(AND(20&gt;=WBS!$F125,20&lt;=WBS!$T125),IF(WBS!$L125="Done",3,IF(WBS!$L125="Doing",2,IF(WBS!$L125="Blocked",4,IF(WBS!$L125="Deferred",5,1)))),""))</f>
        <v/>
      </c>
      <c r="Z125" s="58" t="str">
        <f>IF(OR(WBS!$F125="",WBS!$T125=""),"",IF(AND(21&gt;=WBS!$F125,21&lt;=WBS!$T125),IF(WBS!$L125="Done",3,IF(WBS!$L125="Doing",2,IF(WBS!$L125="Blocked",4,IF(WBS!$L125="Deferred",5,1)))),""))</f>
        <v/>
      </c>
    </row>
    <row r="126" spans="1:26" ht="26.4" x14ac:dyDescent="0.3">
      <c r="A126" s="64" t="str">
        <f>WBS!$A126</f>
        <v>7.5.1</v>
      </c>
      <c r="B126" s="65" t="str">
        <f>WBS!$C126</f>
        <v xml:space="preserve">        OpenTelemetry dashboards - network, integration and device health</v>
      </c>
      <c r="C126" s="66" t="str">
        <f>IF(WBS!$E126="","",WBS!$E126)</f>
        <v>OPS</v>
      </c>
      <c r="D126" s="67">
        <f>WBS!$J126</f>
        <v>2.5</v>
      </c>
      <c r="E126" s="68">
        <f>WBS!$M126</f>
        <v>0</v>
      </c>
      <c r="F126" s="58" t="str">
        <f>IF(OR(WBS!$F126="",WBS!$T126=""),"",IF(AND(1&gt;=WBS!$F126,1&lt;=WBS!$T126),IF(WBS!$L126="Done",3,IF(WBS!$L126="Doing",2,IF(WBS!$L126="Blocked",4,IF(WBS!$L126="Deferred",5,1)))),""))</f>
        <v/>
      </c>
      <c r="G126" s="58" t="str">
        <f>IF(OR(WBS!$F126="",WBS!$T126=""),"",IF(AND(2&gt;=WBS!$F126,2&lt;=WBS!$T126),IF(WBS!$L126="Done",3,IF(WBS!$L126="Doing",2,IF(WBS!$L126="Blocked",4,IF(WBS!$L126="Deferred",5,1)))),""))</f>
        <v/>
      </c>
      <c r="H126" s="58" t="str">
        <f>IF(OR(WBS!$F126="",WBS!$T126=""),"",IF(AND(3&gt;=WBS!$F126,3&lt;=WBS!$T126),IF(WBS!$L126="Done",3,IF(WBS!$L126="Doing",2,IF(WBS!$L126="Blocked",4,IF(WBS!$L126="Deferred",5,1)))),""))</f>
        <v/>
      </c>
      <c r="I126" s="58" t="str">
        <f>IF(OR(WBS!$F126="",WBS!$T126=""),"",IF(AND(4&gt;=WBS!$F126,4&lt;=WBS!$T126),IF(WBS!$L126="Done",3,IF(WBS!$L126="Doing",2,IF(WBS!$L126="Blocked",4,IF(WBS!$L126="Deferred",5,1)))),""))</f>
        <v/>
      </c>
      <c r="J126" s="58" t="str">
        <f>IF(OR(WBS!$F126="",WBS!$T126=""),"",IF(AND(5&gt;=WBS!$F126,5&lt;=WBS!$T126),IF(WBS!$L126="Done",3,IF(WBS!$L126="Doing",2,IF(WBS!$L126="Blocked",4,IF(WBS!$L126="Deferred",5,1)))),""))</f>
        <v/>
      </c>
      <c r="K126" s="58" t="str">
        <f>IF(OR(WBS!$F126="",WBS!$T126=""),"",IF(AND(6&gt;=WBS!$F126,6&lt;=WBS!$T126),IF(WBS!$L126="Done",3,IF(WBS!$L126="Doing",2,IF(WBS!$L126="Blocked",4,IF(WBS!$L126="Deferred",5,1)))),""))</f>
        <v/>
      </c>
      <c r="L126" s="58" t="str">
        <f>IF(OR(WBS!$F126="",WBS!$T126=""),"",IF(AND(7&gt;=WBS!$F126,7&lt;=WBS!$T126),IF(WBS!$L126="Done",3,IF(WBS!$L126="Doing",2,IF(WBS!$L126="Blocked",4,IF(WBS!$L126="Deferred",5,1)))),""))</f>
        <v/>
      </c>
      <c r="M126" s="58" t="str">
        <f>IF(OR(WBS!$F126="",WBS!$T126=""),"",IF(AND(8&gt;=WBS!$F126,8&lt;=WBS!$T126),IF(WBS!$L126="Done",3,IF(WBS!$L126="Doing",2,IF(WBS!$L126="Blocked",4,IF(WBS!$L126="Deferred",5,1)))),""))</f>
        <v/>
      </c>
      <c r="N126" s="58" t="str">
        <f>IF(OR(WBS!$F126="",WBS!$T126=""),"",IF(AND(9&gt;=WBS!$F126,9&lt;=WBS!$T126),IF(WBS!$L126="Done",3,IF(WBS!$L126="Doing",2,IF(WBS!$L126="Blocked",4,IF(WBS!$L126="Deferred",5,1)))),""))</f>
        <v/>
      </c>
      <c r="O126" s="58" t="str">
        <f>IF(OR(WBS!$F126="",WBS!$T126=""),"",IF(AND(10&gt;=WBS!$F126,10&lt;=WBS!$T126),IF(WBS!$L126="Done",3,IF(WBS!$L126="Doing",2,IF(WBS!$L126="Blocked",4,IF(WBS!$L126="Deferred",5,1)))),""))</f>
        <v/>
      </c>
      <c r="P126" s="58" t="str">
        <f>IF(OR(WBS!$F126="",WBS!$T126=""),"",IF(AND(11&gt;=WBS!$F126,11&lt;=WBS!$T126),IF(WBS!$L126="Done",3,IF(WBS!$L126="Doing",2,IF(WBS!$L126="Blocked",4,IF(WBS!$L126="Deferred",5,1)))),""))</f>
        <v/>
      </c>
      <c r="Q126" s="58" t="str">
        <f>IF(OR(WBS!$F126="",WBS!$T126=""),"",IF(AND(12&gt;=WBS!$F126,12&lt;=WBS!$T126),IF(WBS!$L126="Done",3,IF(WBS!$L126="Doing",2,IF(WBS!$L126="Blocked",4,IF(WBS!$L126="Deferred",5,1)))),""))</f>
        <v/>
      </c>
      <c r="R126" s="58" t="str">
        <f>IF(OR(WBS!$F126="",WBS!$T126=""),"",IF(AND(13&gt;=WBS!$F126,13&lt;=WBS!$T126),IF(WBS!$L126="Done",3,IF(WBS!$L126="Doing",2,IF(WBS!$L126="Blocked",4,IF(WBS!$L126="Deferred",5,1)))),""))</f>
        <v/>
      </c>
      <c r="S126" s="58" t="str">
        <f>IF(OR(WBS!$F126="",WBS!$T126=""),"",IF(AND(14&gt;=WBS!$F126,14&lt;=WBS!$T126),IF(WBS!$L126="Done",3,IF(WBS!$L126="Doing",2,IF(WBS!$L126="Blocked",4,IF(WBS!$L126="Deferred",5,1)))),""))</f>
        <v/>
      </c>
      <c r="T126" s="58" t="str">
        <f>IF(OR(WBS!$F126="",WBS!$T126=""),"",IF(AND(15&gt;=WBS!$F126,15&lt;=WBS!$T126),IF(WBS!$L126="Done",3,IF(WBS!$L126="Doing",2,IF(WBS!$L126="Blocked",4,IF(WBS!$L126="Deferred",5,1)))),""))</f>
        <v/>
      </c>
      <c r="U126" s="58" t="str">
        <f>IF(OR(WBS!$F126="",WBS!$T126=""),"",IF(AND(16&gt;=WBS!$F126,16&lt;=WBS!$T126),IF(WBS!$L126="Done",3,IF(WBS!$L126="Doing",2,IF(WBS!$L126="Blocked",4,IF(WBS!$L126="Deferred",5,1)))),""))</f>
        <v/>
      </c>
      <c r="V126" s="58" t="str">
        <f>IF(OR(WBS!$F126="",WBS!$T126=""),"",IF(AND(17&gt;=WBS!$F126,17&lt;=WBS!$T126),IF(WBS!$L126="Done",3,IF(WBS!$L126="Doing",2,IF(WBS!$L126="Blocked",4,IF(WBS!$L126="Deferred",5,1)))),""))</f>
        <v/>
      </c>
      <c r="W126" s="58">
        <f>IF(OR(WBS!$F126="",WBS!$T126=""),"",IF(AND(18&gt;=WBS!$F126,18&lt;=WBS!$T126),IF(WBS!$L126="Done",3,IF(WBS!$L126="Doing",2,IF(WBS!$L126="Blocked",4,IF(WBS!$L126="Deferred",5,1)))),""))</f>
        <v>1</v>
      </c>
      <c r="X126" s="58" t="str">
        <f>IF(OR(WBS!$F126="",WBS!$T126=""),"",IF(AND(19&gt;=WBS!$F126,19&lt;=WBS!$T126),IF(WBS!$L126="Done",3,IF(WBS!$L126="Doing",2,IF(WBS!$L126="Blocked",4,IF(WBS!$L126="Deferred",5,1)))),""))</f>
        <v/>
      </c>
      <c r="Y126" s="58" t="str">
        <f>IF(OR(WBS!$F126="",WBS!$T126=""),"",IF(AND(20&gt;=WBS!$F126,20&lt;=WBS!$T126),IF(WBS!$L126="Done",3,IF(WBS!$L126="Doing",2,IF(WBS!$L126="Blocked",4,IF(WBS!$L126="Deferred",5,1)))),""))</f>
        <v/>
      </c>
      <c r="Z126" s="58" t="str">
        <f>IF(OR(WBS!$F126="",WBS!$T126=""),"",IF(AND(21&gt;=WBS!$F126,21&lt;=WBS!$T126),IF(WBS!$L126="Done",3,IF(WBS!$L126="Doing",2,IF(WBS!$L126="Blocked",4,IF(WBS!$L126="Deferred",5,1)))),""))</f>
        <v/>
      </c>
    </row>
    <row r="127" spans="1:26" x14ac:dyDescent="0.3">
      <c r="A127" s="64" t="str">
        <f>WBS!$A127</f>
        <v>7.5.2</v>
      </c>
      <c r="B127" s="65" t="str">
        <f>WBS!$C127</f>
        <v xml:space="preserve">        Runbook, SLO document and alert definitions</v>
      </c>
      <c r="C127" s="66" t="str">
        <f>IF(WBS!$E127="","",WBS!$E127)</f>
        <v>OPS</v>
      </c>
      <c r="D127" s="67">
        <f>WBS!$J127</f>
        <v>2</v>
      </c>
      <c r="E127" s="68">
        <f>WBS!$M127</f>
        <v>0</v>
      </c>
      <c r="F127" s="58" t="str">
        <f>IF(OR(WBS!$F127="",WBS!$T127=""),"",IF(AND(1&gt;=WBS!$F127,1&lt;=WBS!$T127),IF(WBS!$L127="Done",3,IF(WBS!$L127="Doing",2,IF(WBS!$L127="Blocked",4,IF(WBS!$L127="Deferred",5,1)))),""))</f>
        <v/>
      </c>
      <c r="G127" s="58" t="str">
        <f>IF(OR(WBS!$F127="",WBS!$T127=""),"",IF(AND(2&gt;=WBS!$F127,2&lt;=WBS!$T127),IF(WBS!$L127="Done",3,IF(WBS!$L127="Doing",2,IF(WBS!$L127="Blocked",4,IF(WBS!$L127="Deferred",5,1)))),""))</f>
        <v/>
      </c>
      <c r="H127" s="58" t="str">
        <f>IF(OR(WBS!$F127="",WBS!$T127=""),"",IF(AND(3&gt;=WBS!$F127,3&lt;=WBS!$T127),IF(WBS!$L127="Done",3,IF(WBS!$L127="Doing",2,IF(WBS!$L127="Blocked",4,IF(WBS!$L127="Deferred",5,1)))),""))</f>
        <v/>
      </c>
      <c r="I127" s="58" t="str">
        <f>IF(OR(WBS!$F127="",WBS!$T127=""),"",IF(AND(4&gt;=WBS!$F127,4&lt;=WBS!$T127),IF(WBS!$L127="Done",3,IF(WBS!$L127="Doing",2,IF(WBS!$L127="Blocked",4,IF(WBS!$L127="Deferred",5,1)))),""))</f>
        <v/>
      </c>
      <c r="J127" s="58" t="str">
        <f>IF(OR(WBS!$F127="",WBS!$T127=""),"",IF(AND(5&gt;=WBS!$F127,5&lt;=WBS!$T127),IF(WBS!$L127="Done",3,IF(WBS!$L127="Doing",2,IF(WBS!$L127="Blocked",4,IF(WBS!$L127="Deferred",5,1)))),""))</f>
        <v/>
      </c>
      <c r="K127" s="58" t="str">
        <f>IF(OR(WBS!$F127="",WBS!$T127=""),"",IF(AND(6&gt;=WBS!$F127,6&lt;=WBS!$T127),IF(WBS!$L127="Done",3,IF(WBS!$L127="Doing",2,IF(WBS!$L127="Blocked",4,IF(WBS!$L127="Deferred",5,1)))),""))</f>
        <v/>
      </c>
      <c r="L127" s="58" t="str">
        <f>IF(OR(WBS!$F127="",WBS!$T127=""),"",IF(AND(7&gt;=WBS!$F127,7&lt;=WBS!$T127),IF(WBS!$L127="Done",3,IF(WBS!$L127="Doing",2,IF(WBS!$L127="Blocked",4,IF(WBS!$L127="Deferred",5,1)))),""))</f>
        <v/>
      </c>
      <c r="M127" s="58" t="str">
        <f>IF(OR(WBS!$F127="",WBS!$T127=""),"",IF(AND(8&gt;=WBS!$F127,8&lt;=WBS!$T127),IF(WBS!$L127="Done",3,IF(WBS!$L127="Doing",2,IF(WBS!$L127="Blocked",4,IF(WBS!$L127="Deferred",5,1)))),""))</f>
        <v/>
      </c>
      <c r="N127" s="58" t="str">
        <f>IF(OR(WBS!$F127="",WBS!$T127=""),"",IF(AND(9&gt;=WBS!$F127,9&lt;=WBS!$T127),IF(WBS!$L127="Done",3,IF(WBS!$L127="Doing",2,IF(WBS!$L127="Blocked",4,IF(WBS!$L127="Deferred",5,1)))),""))</f>
        <v/>
      </c>
      <c r="O127" s="58" t="str">
        <f>IF(OR(WBS!$F127="",WBS!$T127=""),"",IF(AND(10&gt;=WBS!$F127,10&lt;=WBS!$T127),IF(WBS!$L127="Done",3,IF(WBS!$L127="Doing",2,IF(WBS!$L127="Blocked",4,IF(WBS!$L127="Deferred",5,1)))),""))</f>
        <v/>
      </c>
      <c r="P127" s="58" t="str">
        <f>IF(OR(WBS!$F127="",WBS!$T127=""),"",IF(AND(11&gt;=WBS!$F127,11&lt;=WBS!$T127),IF(WBS!$L127="Done",3,IF(WBS!$L127="Doing",2,IF(WBS!$L127="Blocked",4,IF(WBS!$L127="Deferred",5,1)))),""))</f>
        <v/>
      </c>
      <c r="Q127" s="58" t="str">
        <f>IF(OR(WBS!$F127="",WBS!$T127=""),"",IF(AND(12&gt;=WBS!$F127,12&lt;=WBS!$T127),IF(WBS!$L127="Done",3,IF(WBS!$L127="Doing",2,IF(WBS!$L127="Blocked",4,IF(WBS!$L127="Deferred",5,1)))),""))</f>
        <v/>
      </c>
      <c r="R127" s="58" t="str">
        <f>IF(OR(WBS!$F127="",WBS!$T127=""),"",IF(AND(13&gt;=WBS!$F127,13&lt;=WBS!$T127),IF(WBS!$L127="Done",3,IF(WBS!$L127="Doing",2,IF(WBS!$L127="Blocked",4,IF(WBS!$L127="Deferred",5,1)))),""))</f>
        <v/>
      </c>
      <c r="S127" s="58" t="str">
        <f>IF(OR(WBS!$F127="",WBS!$T127=""),"",IF(AND(14&gt;=WBS!$F127,14&lt;=WBS!$T127),IF(WBS!$L127="Done",3,IF(WBS!$L127="Doing",2,IF(WBS!$L127="Blocked",4,IF(WBS!$L127="Deferred",5,1)))),""))</f>
        <v/>
      </c>
      <c r="T127" s="58" t="str">
        <f>IF(OR(WBS!$F127="",WBS!$T127=""),"",IF(AND(15&gt;=WBS!$F127,15&lt;=WBS!$T127),IF(WBS!$L127="Done",3,IF(WBS!$L127="Doing",2,IF(WBS!$L127="Blocked",4,IF(WBS!$L127="Deferred",5,1)))),""))</f>
        <v/>
      </c>
      <c r="U127" s="58" t="str">
        <f>IF(OR(WBS!$F127="",WBS!$T127=""),"",IF(AND(16&gt;=WBS!$F127,16&lt;=WBS!$T127),IF(WBS!$L127="Done",3,IF(WBS!$L127="Doing",2,IF(WBS!$L127="Blocked",4,IF(WBS!$L127="Deferred",5,1)))),""))</f>
        <v/>
      </c>
      <c r="V127" s="58" t="str">
        <f>IF(OR(WBS!$F127="",WBS!$T127=""),"",IF(AND(17&gt;=WBS!$F127,17&lt;=WBS!$T127),IF(WBS!$L127="Done",3,IF(WBS!$L127="Doing",2,IF(WBS!$L127="Blocked",4,IF(WBS!$L127="Deferred",5,1)))),""))</f>
        <v/>
      </c>
      <c r="W127" s="58">
        <f>IF(OR(WBS!$F127="",WBS!$T127=""),"",IF(AND(18&gt;=WBS!$F127,18&lt;=WBS!$T127),IF(WBS!$L127="Done",3,IF(WBS!$L127="Doing",2,IF(WBS!$L127="Blocked",4,IF(WBS!$L127="Deferred",5,1)))),""))</f>
        <v>1</v>
      </c>
      <c r="X127" s="58" t="str">
        <f>IF(OR(WBS!$F127="",WBS!$T127=""),"",IF(AND(19&gt;=WBS!$F127,19&lt;=WBS!$T127),IF(WBS!$L127="Done",3,IF(WBS!$L127="Doing",2,IF(WBS!$L127="Blocked",4,IF(WBS!$L127="Deferred",5,1)))),""))</f>
        <v/>
      </c>
      <c r="Y127" s="58" t="str">
        <f>IF(OR(WBS!$F127="",WBS!$T127=""),"",IF(AND(20&gt;=WBS!$F127,20&lt;=WBS!$T127),IF(WBS!$L127="Done",3,IF(WBS!$L127="Doing",2,IF(WBS!$L127="Blocked",4,IF(WBS!$L127="Deferred",5,1)))),""))</f>
        <v/>
      </c>
      <c r="Z127" s="58" t="str">
        <f>IF(OR(WBS!$F127="",WBS!$T127=""),"",IF(AND(21&gt;=WBS!$F127,21&lt;=WBS!$T127),IF(WBS!$L127="Done",3,IF(WBS!$L127="Doing",2,IF(WBS!$L127="Blocked",4,IF(WBS!$L127="Deferred",5,1)))),""))</f>
        <v/>
      </c>
    </row>
    <row r="128" spans="1:26" x14ac:dyDescent="0.3">
      <c r="A128" s="53" t="str">
        <f>WBS!$A128</f>
        <v>8</v>
      </c>
      <c r="B128" s="54" t="str">
        <f>WBS!$C128</f>
        <v>Evidence and Demo</v>
      </c>
      <c r="C128" s="55" t="str">
        <f>IF(WBS!$E128="","",WBS!$E128)</f>
        <v/>
      </c>
      <c r="D128" s="56">
        <f>WBS!$J128</f>
        <v>21</v>
      </c>
      <c r="E128" s="57">
        <f>WBS!$M128</f>
        <v>0</v>
      </c>
      <c r="F128" s="58" t="str">
        <f>IF(OR(WBS!$F128="",WBS!$T128=""),"",IF(AND(1&gt;=WBS!$F128,1&lt;=WBS!$T128),IF(WBS!$L128="Done",3,IF(WBS!$L128="Doing",2,IF(WBS!$L128="Blocked",4,IF(WBS!$L128="Deferred",5,1)))),""))</f>
        <v/>
      </c>
      <c r="G128" s="58" t="str">
        <f>IF(OR(WBS!$F128="",WBS!$T128=""),"",IF(AND(2&gt;=WBS!$F128,2&lt;=WBS!$T128),IF(WBS!$L128="Done",3,IF(WBS!$L128="Doing",2,IF(WBS!$L128="Blocked",4,IF(WBS!$L128="Deferred",5,1)))),""))</f>
        <v/>
      </c>
      <c r="H128" s="58" t="str">
        <f>IF(OR(WBS!$F128="",WBS!$T128=""),"",IF(AND(3&gt;=WBS!$F128,3&lt;=WBS!$T128),IF(WBS!$L128="Done",3,IF(WBS!$L128="Doing",2,IF(WBS!$L128="Blocked",4,IF(WBS!$L128="Deferred",5,1)))),""))</f>
        <v/>
      </c>
      <c r="I128" s="58" t="str">
        <f>IF(OR(WBS!$F128="",WBS!$T128=""),"",IF(AND(4&gt;=WBS!$F128,4&lt;=WBS!$T128),IF(WBS!$L128="Done",3,IF(WBS!$L128="Doing",2,IF(WBS!$L128="Blocked",4,IF(WBS!$L128="Deferred",5,1)))),""))</f>
        <v/>
      </c>
      <c r="J128" s="58" t="str">
        <f>IF(OR(WBS!$F128="",WBS!$T128=""),"",IF(AND(5&gt;=WBS!$F128,5&lt;=WBS!$T128),IF(WBS!$L128="Done",3,IF(WBS!$L128="Doing",2,IF(WBS!$L128="Blocked",4,IF(WBS!$L128="Deferred",5,1)))),""))</f>
        <v/>
      </c>
      <c r="K128" s="58" t="str">
        <f>IF(OR(WBS!$F128="",WBS!$T128=""),"",IF(AND(6&gt;=WBS!$F128,6&lt;=WBS!$T128),IF(WBS!$L128="Done",3,IF(WBS!$L128="Doing",2,IF(WBS!$L128="Blocked",4,IF(WBS!$L128="Deferred",5,1)))),""))</f>
        <v/>
      </c>
      <c r="L128" s="58" t="str">
        <f>IF(OR(WBS!$F128="",WBS!$T128=""),"",IF(AND(7&gt;=WBS!$F128,7&lt;=WBS!$T128),IF(WBS!$L128="Done",3,IF(WBS!$L128="Doing",2,IF(WBS!$L128="Blocked",4,IF(WBS!$L128="Deferred",5,1)))),""))</f>
        <v/>
      </c>
      <c r="M128" s="58" t="str">
        <f>IF(OR(WBS!$F128="",WBS!$T128=""),"",IF(AND(8&gt;=WBS!$F128,8&lt;=WBS!$T128),IF(WBS!$L128="Done",3,IF(WBS!$L128="Doing",2,IF(WBS!$L128="Blocked",4,IF(WBS!$L128="Deferred",5,1)))),""))</f>
        <v/>
      </c>
      <c r="N128" s="58" t="str">
        <f>IF(OR(WBS!$F128="",WBS!$T128=""),"",IF(AND(9&gt;=WBS!$F128,9&lt;=WBS!$T128),IF(WBS!$L128="Done",3,IF(WBS!$L128="Doing",2,IF(WBS!$L128="Blocked",4,IF(WBS!$L128="Deferred",5,1)))),""))</f>
        <v/>
      </c>
      <c r="O128" s="58" t="str">
        <f>IF(OR(WBS!$F128="",WBS!$T128=""),"",IF(AND(10&gt;=WBS!$F128,10&lt;=WBS!$T128),IF(WBS!$L128="Done",3,IF(WBS!$L128="Doing",2,IF(WBS!$L128="Blocked",4,IF(WBS!$L128="Deferred",5,1)))),""))</f>
        <v/>
      </c>
      <c r="P128" s="58" t="str">
        <f>IF(OR(WBS!$F128="",WBS!$T128=""),"",IF(AND(11&gt;=WBS!$F128,11&lt;=WBS!$T128),IF(WBS!$L128="Done",3,IF(WBS!$L128="Doing",2,IF(WBS!$L128="Blocked",4,IF(WBS!$L128="Deferred",5,1)))),""))</f>
        <v/>
      </c>
      <c r="Q128" s="58" t="str">
        <f>IF(OR(WBS!$F128="",WBS!$T128=""),"",IF(AND(12&gt;=WBS!$F128,12&lt;=WBS!$T128),IF(WBS!$L128="Done",3,IF(WBS!$L128="Doing",2,IF(WBS!$L128="Blocked",4,IF(WBS!$L128="Deferred",5,1)))),""))</f>
        <v/>
      </c>
      <c r="R128" s="58" t="str">
        <f>IF(OR(WBS!$F128="",WBS!$T128=""),"",IF(AND(13&gt;=WBS!$F128,13&lt;=WBS!$T128),IF(WBS!$L128="Done",3,IF(WBS!$L128="Doing",2,IF(WBS!$L128="Blocked",4,IF(WBS!$L128="Deferred",5,1)))),""))</f>
        <v/>
      </c>
      <c r="S128" s="58" t="str">
        <f>IF(OR(WBS!$F128="",WBS!$T128=""),"",IF(AND(14&gt;=WBS!$F128,14&lt;=WBS!$T128),IF(WBS!$L128="Done",3,IF(WBS!$L128="Doing",2,IF(WBS!$L128="Blocked",4,IF(WBS!$L128="Deferred",5,1)))),""))</f>
        <v/>
      </c>
      <c r="T128" s="58" t="str">
        <f>IF(OR(WBS!$F128="",WBS!$T128=""),"",IF(AND(15&gt;=WBS!$F128,15&lt;=WBS!$T128),IF(WBS!$L128="Done",3,IF(WBS!$L128="Doing",2,IF(WBS!$L128="Blocked",4,IF(WBS!$L128="Deferred",5,1)))),""))</f>
        <v/>
      </c>
      <c r="U128" s="58" t="str">
        <f>IF(OR(WBS!$F128="",WBS!$T128=""),"",IF(AND(16&gt;=WBS!$F128,16&lt;=WBS!$T128),IF(WBS!$L128="Done",3,IF(WBS!$L128="Doing",2,IF(WBS!$L128="Blocked",4,IF(WBS!$L128="Deferred",5,1)))),""))</f>
        <v/>
      </c>
      <c r="V128" s="58" t="str">
        <f>IF(OR(WBS!$F128="",WBS!$T128=""),"",IF(AND(17&gt;=WBS!$F128,17&lt;=WBS!$T128),IF(WBS!$L128="Done",3,IF(WBS!$L128="Doing",2,IF(WBS!$L128="Blocked",4,IF(WBS!$L128="Deferred",5,1)))),""))</f>
        <v/>
      </c>
      <c r="W128" s="58" t="str">
        <f>IF(OR(WBS!$F128="",WBS!$T128=""),"",IF(AND(18&gt;=WBS!$F128,18&lt;=WBS!$T128),IF(WBS!$L128="Done",3,IF(WBS!$L128="Doing",2,IF(WBS!$L128="Blocked",4,IF(WBS!$L128="Deferred",5,1)))),""))</f>
        <v/>
      </c>
      <c r="X128" s="58">
        <f>IF(OR(WBS!$F128="",WBS!$T128=""),"",IF(AND(19&gt;=WBS!$F128,19&lt;=WBS!$T128),IF(WBS!$L128="Done",3,IF(WBS!$L128="Doing",2,IF(WBS!$L128="Blocked",4,IF(WBS!$L128="Deferred",5,1)))),""))</f>
        <v>1</v>
      </c>
      <c r="Y128" s="58">
        <f>IF(OR(WBS!$F128="",WBS!$T128=""),"",IF(AND(20&gt;=WBS!$F128,20&lt;=WBS!$T128),IF(WBS!$L128="Done",3,IF(WBS!$L128="Doing",2,IF(WBS!$L128="Blocked",4,IF(WBS!$L128="Deferred",5,1)))),""))</f>
        <v>1</v>
      </c>
      <c r="Z128" s="58">
        <f>IF(OR(WBS!$F128="",WBS!$T128=""),"",IF(AND(21&gt;=WBS!$F128,21&lt;=WBS!$T128),IF(WBS!$L128="Done",3,IF(WBS!$L128="Doing",2,IF(WBS!$L128="Blocked",4,IF(WBS!$L128="Deferred",5,1)))),""))</f>
        <v>1</v>
      </c>
    </row>
    <row r="129" spans="1:26" x14ac:dyDescent="0.3">
      <c r="A129" s="59" t="str">
        <f>WBS!$A129</f>
        <v>8.1</v>
      </c>
      <c r="B129" s="60" t="str">
        <f>WBS!$C129</f>
        <v xml:space="preserve">    Documentation consolidation</v>
      </c>
      <c r="C129" s="61" t="str">
        <f>IF(WBS!$E129="","",WBS!$E129)</f>
        <v/>
      </c>
      <c r="D129" s="62">
        <f>WBS!$J129</f>
        <v>5.5</v>
      </c>
      <c r="E129" s="63">
        <f>WBS!$M129</f>
        <v>0</v>
      </c>
      <c r="F129" s="58" t="str">
        <f>IF(OR(WBS!$F129="",WBS!$T129=""),"",IF(AND(1&gt;=WBS!$F129,1&lt;=WBS!$T129),IF(WBS!$L129="Done",3,IF(WBS!$L129="Doing",2,IF(WBS!$L129="Blocked",4,IF(WBS!$L129="Deferred",5,1)))),""))</f>
        <v/>
      </c>
      <c r="G129" s="58" t="str">
        <f>IF(OR(WBS!$F129="",WBS!$T129=""),"",IF(AND(2&gt;=WBS!$F129,2&lt;=WBS!$T129),IF(WBS!$L129="Done",3,IF(WBS!$L129="Doing",2,IF(WBS!$L129="Blocked",4,IF(WBS!$L129="Deferred",5,1)))),""))</f>
        <v/>
      </c>
      <c r="H129" s="58" t="str">
        <f>IF(OR(WBS!$F129="",WBS!$T129=""),"",IF(AND(3&gt;=WBS!$F129,3&lt;=WBS!$T129),IF(WBS!$L129="Done",3,IF(WBS!$L129="Doing",2,IF(WBS!$L129="Blocked",4,IF(WBS!$L129="Deferred",5,1)))),""))</f>
        <v/>
      </c>
      <c r="I129" s="58" t="str">
        <f>IF(OR(WBS!$F129="",WBS!$T129=""),"",IF(AND(4&gt;=WBS!$F129,4&lt;=WBS!$T129),IF(WBS!$L129="Done",3,IF(WBS!$L129="Doing",2,IF(WBS!$L129="Blocked",4,IF(WBS!$L129="Deferred",5,1)))),""))</f>
        <v/>
      </c>
      <c r="J129" s="58" t="str">
        <f>IF(OR(WBS!$F129="",WBS!$T129=""),"",IF(AND(5&gt;=WBS!$F129,5&lt;=WBS!$T129),IF(WBS!$L129="Done",3,IF(WBS!$L129="Doing",2,IF(WBS!$L129="Blocked",4,IF(WBS!$L129="Deferred",5,1)))),""))</f>
        <v/>
      </c>
      <c r="K129" s="58" t="str">
        <f>IF(OR(WBS!$F129="",WBS!$T129=""),"",IF(AND(6&gt;=WBS!$F129,6&lt;=WBS!$T129),IF(WBS!$L129="Done",3,IF(WBS!$L129="Doing",2,IF(WBS!$L129="Blocked",4,IF(WBS!$L129="Deferred",5,1)))),""))</f>
        <v/>
      </c>
      <c r="L129" s="58" t="str">
        <f>IF(OR(WBS!$F129="",WBS!$T129=""),"",IF(AND(7&gt;=WBS!$F129,7&lt;=WBS!$T129),IF(WBS!$L129="Done",3,IF(WBS!$L129="Doing",2,IF(WBS!$L129="Blocked",4,IF(WBS!$L129="Deferred",5,1)))),""))</f>
        <v/>
      </c>
      <c r="M129" s="58" t="str">
        <f>IF(OR(WBS!$F129="",WBS!$T129=""),"",IF(AND(8&gt;=WBS!$F129,8&lt;=WBS!$T129),IF(WBS!$L129="Done",3,IF(WBS!$L129="Doing",2,IF(WBS!$L129="Blocked",4,IF(WBS!$L129="Deferred",5,1)))),""))</f>
        <v/>
      </c>
      <c r="N129" s="58" t="str">
        <f>IF(OR(WBS!$F129="",WBS!$T129=""),"",IF(AND(9&gt;=WBS!$F129,9&lt;=WBS!$T129),IF(WBS!$L129="Done",3,IF(WBS!$L129="Doing",2,IF(WBS!$L129="Blocked",4,IF(WBS!$L129="Deferred",5,1)))),""))</f>
        <v/>
      </c>
      <c r="O129" s="58" t="str">
        <f>IF(OR(WBS!$F129="",WBS!$T129=""),"",IF(AND(10&gt;=WBS!$F129,10&lt;=WBS!$T129),IF(WBS!$L129="Done",3,IF(WBS!$L129="Doing",2,IF(WBS!$L129="Blocked",4,IF(WBS!$L129="Deferred",5,1)))),""))</f>
        <v/>
      </c>
      <c r="P129" s="58" t="str">
        <f>IF(OR(WBS!$F129="",WBS!$T129=""),"",IF(AND(11&gt;=WBS!$F129,11&lt;=WBS!$T129),IF(WBS!$L129="Done",3,IF(WBS!$L129="Doing",2,IF(WBS!$L129="Blocked",4,IF(WBS!$L129="Deferred",5,1)))),""))</f>
        <v/>
      </c>
      <c r="Q129" s="58" t="str">
        <f>IF(OR(WBS!$F129="",WBS!$T129=""),"",IF(AND(12&gt;=WBS!$F129,12&lt;=WBS!$T129),IF(WBS!$L129="Done",3,IF(WBS!$L129="Doing",2,IF(WBS!$L129="Blocked",4,IF(WBS!$L129="Deferred",5,1)))),""))</f>
        <v/>
      </c>
      <c r="R129" s="58" t="str">
        <f>IF(OR(WBS!$F129="",WBS!$T129=""),"",IF(AND(13&gt;=WBS!$F129,13&lt;=WBS!$T129),IF(WBS!$L129="Done",3,IF(WBS!$L129="Doing",2,IF(WBS!$L129="Blocked",4,IF(WBS!$L129="Deferred",5,1)))),""))</f>
        <v/>
      </c>
      <c r="S129" s="58" t="str">
        <f>IF(OR(WBS!$F129="",WBS!$T129=""),"",IF(AND(14&gt;=WBS!$F129,14&lt;=WBS!$T129),IF(WBS!$L129="Done",3,IF(WBS!$L129="Doing",2,IF(WBS!$L129="Blocked",4,IF(WBS!$L129="Deferred",5,1)))),""))</f>
        <v/>
      </c>
      <c r="T129" s="58" t="str">
        <f>IF(OR(WBS!$F129="",WBS!$T129=""),"",IF(AND(15&gt;=WBS!$F129,15&lt;=WBS!$T129),IF(WBS!$L129="Done",3,IF(WBS!$L129="Doing",2,IF(WBS!$L129="Blocked",4,IF(WBS!$L129="Deferred",5,1)))),""))</f>
        <v/>
      </c>
      <c r="U129" s="58" t="str">
        <f>IF(OR(WBS!$F129="",WBS!$T129=""),"",IF(AND(16&gt;=WBS!$F129,16&lt;=WBS!$T129),IF(WBS!$L129="Done",3,IF(WBS!$L129="Doing",2,IF(WBS!$L129="Blocked",4,IF(WBS!$L129="Deferred",5,1)))),""))</f>
        <v/>
      </c>
      <c r="V129" s="58" t="str">
        <f>IF(OR(WBS!$F129="",WBS!$T129=""),"",IF(AND(17&gt;=WBS!$F129,17&lt;=WBS!$T129),IF(WBS!$L129="Done",3,IF(WBS!$L129="Doing",2,IF(WBS!$L129="Blocked",4,IF(WBS!$L129="Deferred",5,1)))),""))</f>
        <v/>
      </c>
      <c r="W129" s="58" t="str">
        <f>IF(OR(WBS!$F129="",WBS!$T129=""),"",IF(AND(18&gt;=WBS!$F129,18&lt;=WBS!$T129),IF(WBS!$L129="Done",3,IF(WBS!$L129="Doing",2,IF(WBS!$L129="Blocked",4,IF(WBS!$L129="Deferred",5,1)))),""))</f>
        <v/>
      </c>
      <c r="X129" s="58">
        <f>IF(OR(WBS!$F129="",WBS!$T129=""),"",IF(AND(19&gt;=WBS!$F129,19&lt;=WBS!$T129),IF(WBS!$L129="Done",3,IF(WBS!$L129="Doing",2,IF(WBS!$L129="Blocked",4,IF(WBS!$L129="Deferred",5,1)))),""))</f>
        <v>1</v>
      </c>
      <c r="Y129" s="58" t="str">
        <f>IF(OR(WBS!$F129="",WBS!$T129=""),"",IF(AND(20&gt;=WBS!$F129,20&lt;=WBS!$T129),IF(WBS!$L129="Done",3,IF(WBS!$L129="Doing",2,IF(WBS!$L129="Blocked",4,IF(WBS!$L129="Deferred",5,1)))),""))</f>
        <v/>
      </c>
      <c r="Z129" s="58" t="str">
        <f>IF(OR(WBS!$F129="",WBS!$T129=""),"",IF(AND(21&gt;=WBS!$F129,21&lt;=WBS!$T129),IF(WBS!$L129="Done",3,IF(WBS!$L129="Doing",2,IF(WBS!$L129="Blocked",4,IF(WBS!$L129="Deferred",5,1)))),""))</f>
        <v/>
      </c>
    </row>
    <row r="130" spans="1:26" x14ac:dyDescent="0.3">
      <c r="A130" s="64" t="str">
        <f>WBS!$A130</f>
        <v>8.1.1</v>
      </c>
      <c r="B130" s="65" t="str">
        <f>WBS!$C130</f>
        <v xml:space="preserve">        Finalise traceability matrix REQ to test coverage</v>
      </c>
      <c r="C130" s="66" t="str">
        <f>IF(WBS!$E130="","",WBS!$E130)</f>
        <v>DOC</v>
      </c>
      <c r="D130" s="67">
        <f>WBS!$J130</f>
        <v>1.5</v>
      </c>
      <c r="E130" s="68">
        <f>WBS!$M130</f>
        <v>0</v>
      </c>
      <c r="F130" s="58" t="str">
        <f>IF(OR(WBS!$F130="",WBS!$T130=""),"",IF(AND(1&gt;=WBS!$F130,1&lt;=WBS!$T130),IF(WBS!$L130="Done",3,IF(WBS!$L130="Doing",2,IF(WBS!$L130="Blocked",4,IF(WBS!$L130="Deferred",5,1)))),""))</f>
        <v/>
      </c>
      <c r="G130" s="58" t="str">
        <f>IF(OR(WBS!$F130="",WBS!$T130=""),"",IF(AND(2&gt;=WBS!$F130,2&lt;=WBS!$T130),IF(WBS!$L130="Done",3,IF(WBS!$L130="Doing",2,IF(WBS!$L130="Blocked",4,IF(WBS!$L130="Deferred",5,1)))),""))</f>
        <v/>
      </c>
      <c r="H130" s="58" t="str">
        <f>IF(OR(WBS!$F130="",WBS!$T130=""),"",IF(AND(3&gt;=WBS!$F130,3&lt;=WBS!$T130),IF(WBS!$L130="Done",3,IF(WBS!$L130="Doing",2,IF(WBS!$L130="Blocked",4,IF(WBS!$L130="Deferred",5,1)))),""))</f>
        <v/>
      </c>
      <c r="I130" s="58" t="str">
        <f>IF(OR(WBS!$F130="",WBS!$T130=""),"",IF(AND(4&gt;=WBS!$F130,4&lt;=WBS!$T130),IF(WBS!$L130="Done",3,IF(WBS!$L130="Doing",2,IF(WBS!$L130="Blocked",4,IF(WBS!$L130="Deferred",5,1)))),""))</f>
        <v/>
      </c>
      <c r="J130" s="58" t="str">
        <f>IF(OR(WBS!$F130="",WBS!$T130=""),"",IF(AND(5&gt;=WBS!$F130,5&lt;=WBS!$T130),IF(WBS!$L130="Done",3,IF(WBS!$L130="Doing",2,IF(WBS!$L130="Blocked",4,IF(WBS!$L130="Deferred",5,1)))),""))</f>
        <v/>
      </c>
      <c r="K130" s="58" t="str">
        <f>IF(OR(WBS!$F130="",WBS!$T130=""),"",IF(AND(6&gt;=WBS!$F130,6&lt;=WBS!$T130),IF(WBS!$L130="Done",3,IF(WBS!$L130="Doing",2,IF(WBS!$L130="Blocked",4,IF(WBS!$L130="Deferred",5,1)))),""))</f>
        <v/>
      </c>
      <c r="L130" s="58" t="str">
        <f>IF(OR(WBS!$F130="",WBS!$T130=""),"",IF(AND(7&gt;=WBS!$F130,7&lt;=WBS!$T130),IF(WBS!$L130="Done",3,IF(WBS!$L130="Doing",2,IF(WBS!$L130="Blocked",4,IF(WBS!$L130="Deferred",5,1)))),""))</f>
        <v/>
      </c>
      <c r="M130" s="58" t="str">
        <f>IF(OR(WBS!$F130="",WBS!$T130=""),"",IF(AND(8&gt;=WBS!$F130,8&lt;=WBS!$T130),IF(WBS!$L130="Done",3,IF(WBS!$L130="Doing",2,IF(WBS!$L130="Blocked",4,IF(WBS!$L130="Deferred",5,1)))),""))</f>
        <v/>
      </c>
      <c r="N130" s="58" t="str">
        <f>IF(OR(WBS!$F130="",WBS!$T130=""),"",IF(AND(9&gt;=WBS!$F130,9&lt;=WBS!$T130),IF(WBS!$L130="Done",3,IF(WBS!$L130="Doing",2,IF(WBS!$L130="Blocked",4,IF(WBS!$L130="Deferred",5,1)))),""))</f>
        <v/>
      </c>
      <c r="O130" s="58" t="str">
        <f>IF(OR(WBS!$F130="",WBS!$T130=""),"",IF(AND(10&gt;=WBS!$F130,10&lt;=WBS!$T130),IF(WBS!$L130="Done",3,IF(WBS!$L130="Doing",2,IF(WBS!$L130="Blocked",4,IF(WBS!$L130="Deferred",5,1)))),""))</f>
        <v/>
      </c>
      <c r="P130" s="58" t="str">
        <f>IF(OR(WBS!$F130="",WBS!$T130=""),"",IF(AND(11&gt;=WBS!$F130,11&lt;=WBS!$T130),IF(WBS!$L130="Done",3,IF(WBS!$L130="Doing",2,IF(WBS!$L130="Blocked",4,IF(WBS!$L130="Deferred",5,1)))),""))</f>
        <v/>
      </c>
      <c r="Q130" s="58" t="str">
        <f>IF(OR(WBS!$F130="",WBS!$T130=""),"",IF(AND(12&gt;=WBS!$F130,12&lt;=WBS!$T130),IF(WBS!$L130="Done",3,IF(WBS!$L130="Doing",2,IF(WBS!$L130="Blocked",4,IF(WBS!$L130="Deferred",5,1)))),""))</f>
        <v/>
      </c>
      <c r="R130" s="58" t="str">
        <f>IF(OR(WBS!$F130="",WBS!$T130=""),"",IF(AND(13&gt;=WBS!$F130,13&lt;=WBS!$T130),IF(WBS!$L130="Done",3,IF(WBS!$L130="Doing",2,IF(WBS!$L130="Blocked",4,IF(WBS!$L130="Deferred",5,1)))),""))</f>
        <v/>
      </c>
      <c r="S130" s="58" t="str">
        <f>IF(OR(WBS!$F130="",WBS!$T130=""),"",IF(AND(14&gt;=WBS!$F130,14&lt;=WBS!$T130),IF(WBS!$L130="Done",3,IF(WBS!$L130="Doing",2,IF(WBS!$L130="Blocked",4,IF(WBS!$L130="Deferred",5,1)))),""))</f>
        <v/>
      </c>
      <c r="T130" s="58" t="str">
        <f>IF(OR(WBS!$F130="",WBS!$T130=""),"",IF(AND(15&gt;=WBS!$F130,15&lt;=WBS!$T130),IF(WBS!$L130="Done",3,IF(WBS!$L130="Doing",2,IF(WBS!$L130="Blocked",4,IF(WBS!$L130="Deferred",5,1)))),""))</f>
        <v/>
      </c>
      <c r="U130" s="58" t="str">
        <f>IF(OR(WBS!$F130="",WBS!$T130=""),"",IF(AND(16&gt;=WBS!$F130,16&lt;=WBS!$T130),IF(WBS!$L130="Done",3,IF(WBS!$L130="Doing",2,IF(WBS!$L130="Blocked",4,IF(WBS!$L130="Deferred",5,1)))),""))</f>
        <v/>
      </c>
      <c r="V130" s="58" t="str">
        <f>IF(OR(WBS!$F130="",WBS!$T130=""),"",IF(AND(17&gt;=WBS!$F130,17&lt;=WBS!$T130),IF(WBS!$L130="Done",3,IF(WBS!$L130="Doing",2,IF(WBS!$L130="Blocked",4,IF(WBS!$L130="Deferred",5,1)))),""))</f>
        <v/>
      </c>
      <c r="W130" s="58" t="str">
        <f>IF(OR(WBS!$F130="",WBS!$T130=""),"",IF(AND(18&gt;=WBS!$F130,18&lt;=WBS!$T130),IF(WBS!$L130="Done",3,IF(WBS!$L130="Doing",2,IF(WBS!$L130="Blocked",4,IF(WBS!$L130="Deferred",5,1)))),""))</f>
        <v/>
      </c>
      <c r="X130" s="58">
        <f>IF(OR(WBS!$F130="",WBS!$T130=""),"",IF(AND(19&gt;=WBS!$F130,19&lt;=WBS!$T130),IF(WBS!$L130="Done",3,IF(WBS!$L130="Doing",2,IF(WBS!$L130="Blocked",4,IF(WBS!$L130="Deferred",5,1)))),""))</f>
        <v>1</v>
      </c>
      <c r="Y130" s="58" t="str">
        <f>IF(OR(WBS!$F130="",WBS!$T130=""),"",IF(AND(20&gt;=WBS!$F130,20&lt;=WBS!$T130),IF(WBS!$L130="Done",3,IF(WBS!$L130="Doing",2,IF(WBS!$L130="Blocked",4,IF(WBS!$L130="Deferred",5,1)))),""))</f>
        <v/>
      </c>
      <c r="Z130" s="58" t="str">
        <f>IF(OR(WBS!$F130="",WBS!$T130=""),"",IF(AND(21&gt;=WBS!$F130,21&lt;=WBS!$T130),IF(WBS!$L130="Done",3,IF(WBS!$L130="Doing",2,IF(WBS!$L130="Blocked",4,IF(WBS!$L130="Deferred",5,1)))),""))</f>
        <v/>
      </c>
    </row>
    <row r="131" spans="1:26" x14ac:dyDescent="0.3">
      <c r="A131" s="64" t="str">
        <f>WBS!$A131</f>
        <v>8.1.2</v>
      </c>
      <c r="B131" s="65" t="str">
        <f>WBS!$C131</f>
        <v xml:space="preserve">        Consolidate ADRs and architecture documentation</v>
      </c>
      <c r="C131" s="66" t="str">
        <f>IF(WBS!$E131="","",WBS!$E131)</f>
        <v>DOC</v>
      </c>
      <c r="D131" s="67">
        <f>WBS!$J131</f>
        <v>1.5</v>
      </c>
      <c r="E131" s="68">
        <f>WBS!$M131</f>
        <v>0</v>
      </c>
      <c r="F131" s="58" t="str">
        <f>IF(OR(WBS!$F131="",WBS!$T131=""),"",IF(AND(1&gt;=WBS!$F131,1&lt;=WBS!$T131),IF(WBS!$L131="Done",3,IF(WBS!$L131="Doing",2,IF(WBS!$L131="Blocked",4,IF(WBS!$L131="Deferred",5,1)))),""))</f>
        <v/>
      </c>
      <c r="G131" s="58" t="str">
        <f>IF(OR(WBS!$F131="",WBS!$T131=""),"",IF(AND(2&gt;=WBS!$F131,2&lt;=WBS!$T131),IF(WBS!$L131="Done",3,IF(WBS!$L131="Doing",2,IF(WBS!$L131="Blocked",4,IF(WBS!$L131="Deferred",5,1)))),""))</f>
        <v/>
      </c>
      <c r="H131" s="58" t="str">
        <f>IF(OR(WBS!$F131="",WBS!$T131=""),"",IF(AND(3&gt;=WBS!$F131,3&lt;=WBS!$T131),IF(WBS!$L131="Done",3,IF(WBS!$L131="Doing",2,IF(WBS!$L131="Blocked",4,IF(WBS!$L131="Deferred",5,1)))),""))</f>
        <v/>
      </c>
      <c r="I131" s="58" t="str">
        <f>IF(OR(WBS!$F131="",WBS!$T131=""),"",IF(AND(4&gt;=WBS!$F131,4&lt;=WBS!$T131),IF(WBS!$L131="Done",3,IF(WBS!$L131="Doing",2,IF(WBS!$L131="Blocked",4,IF(WBS!$L131="Deferred",5,1)))),""))</f>
        <v/>
      </c>
      <c r="J131" s="58" t="str">
        <f>IF(OR(WBS!$F131="",WBS!$T131=""),"",IF(AND(5&gt;=WBS!$F131,5&lt;=WBS!$T131),IF(WBS!$L131="Done",3,IF(WBS!$L131="Doing",2,IF(WBS!$L131="Blocked",4,IF(WBS!$L131="Deferred",5,1)))),""))</f>
        <v/>
      </c>
      <c r="K131" s="58" t="str">
        <f>IF(OR(WBS!$F131="",WBS!$T131=""),"",IF(AND(6&gt;=WBS!$F131,6&lt;=WBS!$T131),IF(WBS!$L131="Done",3,IF(WBS!$L131="Doing",2,IF(WBS!$L131="Blocked",4,IF(WBS!$L131="Deferred",5,1)))),""))</f>
        <v/>
      </c>
      <c r="L131" s="58" t="str">
        <f>IF(OR(WBS!$F131="",WBS!$T131=""),"",IF(AND(7&gt;=WBS!$F131,7&lt;=WBS!$T131),IF(WBS!$L131="Done",3,IF(WBS!$L131="Doing",2,IF(WBS!$L131="Blocked",4,IF(WBS!$L131="Deferred",5,1)))),""))</f>
        <v/>
      </c>
      <c r="M131" s="58" t="str">
        <f>IF(OR(WBS!$F131="",WBS!$T131=""),"",IF(AND(8&gt;=WBS!$F131,8&lt;=WBS!$T131),IF(WBS!$L131="Done",3,IF(WBS!$L131="Doing",2,IF(WBS!$L131="Blocked",4,IF(WBS!$L131="Deferred",5,1)))),""))</f>
        <v/>
      </c>
      <c r="N131" s="58" t="str">
        <f>IF(OR(WBS!$F131="",WBS!$T131=""),"",IF(AND(9&gt;=WBS!$F131,9&lt;=WBS!$T131),IF(WBS!$L131="Done",3,IF(WBS!$L131="Doing",2,IF(WBS!$L131="Blocked",4,IF(WBS!$L131="Deferred",5,1)))),""))</f>
        <v/>
      </c>
      <c r="O131" s="58" t="str">
        <f>IF(OR(WBS!$F131="",WBS!$T131=""),"",IF(AND(10&gt;=WBS!$F131,10&lt;=WBS!$T131),IF(WBS!$L131="Done",3,IF(WBS!$L131="Doing",2,IF(WBS!$L131="Blocked",4,IF(WBS!$L131="Deferred",5,1)))),""))</f>
        <v/>
      </c>
      <c r="P131" s="58" t="str">
        <f>IF(OR(WBS!$F131="",WBS!$T131=""),"",IF(AND(11&gt;=WBS!$F131,11&lt;=WBS!$T131),IF(WBS!$L131="Done",3,IF(WBS!$L131="Doing",2,IF(WBS!$L131="Blocked",4,IF(WBS!$L131="Deferred",5,1)))),""))</f>
        <v/>
      </c>
      <c r="Q131" s="58" t="str">
        <f>IF(OR(WBS!$F131="",WBS!$T131=""),"",IF(AND(12&gt;=WBS!$F131,12&lt;=WBS!$T131),IF(WBS!$L131="Done",3,IF(WBS!$L131="Doing",2,IF(WBS!$L131="Blocked",4,IF(WBS!$L131="Deferred",5,1)))),""))</f>
        <v/>
      </c>
      <c r="R131" s="58" t="str">
        <f>IF(OR(WBS!$F131="",WBS!$T131=""),"",IF(AND(13&gt;=WBS!$F131,13&lt;=WBS!$T131),IF(WBS!$L131="Done",3,IF(WBS!$L131="Doing",2,IF(WBS!$L131="Blocked",4,IF(WBS!$L131="Deferred",5,1)))),""))</f>
        <v/>
      </c>
      <c r="S131" s="58" t="str">
        <f>IF(OR(WBS!$F131="",WBS!$T131=""),"",IF(AND(14&gt;=WBS!$F131,14&lt;=WBS!$T131),IF(WBS!$L131="Done",3,IF(WBS!$L131="Doing",2,IF(WBS!$L131="Blocked",4,IF(WBS!$L131="Deferred",5,1)))),""))</f>
        <v/>
      </c>
      <c r="T131" s="58" t="str">
        <f>IF(OR(WBS!$F131="",WBS!$T131=""),"",IF(AND(15&gt;=WBS!$F131,15&lt;=WBS!$T131),IF(WBS!$L131="Done",3,IF(WBS!$L131="Doing",2,IF(WBS!$L131="Blocked",4,IF(WBS!$L131="Deferred",5,1)))),""))</f>
        <v/>
      </c>
      <c r="U131" s="58" t="str">
        <f>IF(OR(WBS!$F131="",WBS!$T131=""),"",IF(AND(16&gt;=WBS!$F131,16&lt;=WBS!$T131),IF(WBS!$L131="Done",3,IF(WBS!$L131="Doing",2,IF(WBS!$L131="Blocked",4,IF(WBS!$L131="Deferred",5,1)))),""))</f>
        <v/>
      </c>
      <c r="V131" s="58" t="str">
        <f>IF(OR(WBS!$F131="",WBS!$T131=""),"",IF(AND(17&gt;=WBS!$F131,17&lt;=WBS!$T131),IF(WBS!$L131="Done",3,IF(WBS!$L131="Doing",2,IF(WBS!$L131="Blocked",4,IF(WBS!$L131="Deferred",5,1)))),""))</f>
        <v/>
      </c>
      <c r="W131" s="58" t="str">
        <f>IF(OR(WBS!$F131="",WBS!$T131=""),"",IF(AND(18&gt;=WBS!$F131,18&lt;=WBS!$T131),IF(WBS!$L131="Done",3,IF(WBS!$L131="Doing",2,IF(WBS!$L131="Blocked",4,IF(WBS!$L131="Deferred",5,1)))),""))</f>
        <v/>
      </c>
      <c r="X131" s="58">
        <f>IF(OR(WBS!$F131="",WBS!$T131=""),"",IF(AND(19&gt;=WBS!$F131,19&lt;=WBS!$T131),IF(WBS!$L131="Done",3,IF(WBS!$L131="Doing",2,IF(WBS!$L131="Blocked",4,IF(WBS!$L131="Deferred",5,1)))),""))</f>
        <v>1</v>
      </c>
      <c r="Y131" s="58" t="str">
        <f>IF(OR(WBS!$F131="",WBS!$T131=""),"",IF(AND(20&gt;=WBS!$F131,20&lt;=WBS!$T131),IF(WBS!$L131="Done",3,IF(WBS!$L131="Doing",2,IF(WBS!$L131="Blocked",4,IF(WBS!$L131="Deferred",5,1)))),""))</f>
        <v/>
      </c>
      <c r="Z131" s="58" t="str">
        <f>IF(OR(WBS!$F131="",WBS!$T131=""),"",IF(AND(21&gt;=WBS!$F131,21&lt;=WBS!$T131),IF(WBS!$L131="Done",3,IF(WBS!$L131="Doing",2,IF(WBS!$L131="Blocked",4,IF(WBS!$L131="Deferred",5,1)))),""))</f>
        <v/>
      </c>
    </row>
    <row r="132" spans="1:26" x14ac:dyDescent="0.3">
      <c r="A132" s="64" t="str">
        <f>WBS!$A132</f>
        <v>8.1.3</v>
      </c>
      <c r="B132" s="65" t="str">
        <f>WBS!$C132</f>
        <v xml:space="preserve">        Quality assessment including known weaknesses</v>
      </c>
      <c r="C132" s="66" t="str">
        <f>IF(WBS!$E132="","",WBS!$E132)</f>
        <v>DOC</v>
      </c>
      <c r="D132" s="67">
        <f>WBS!$J132</f>
        <v>1.5</v>
      </c>
      <c r="E132" s="68">
        <f>WBS!$M132</f>
        <v>0</v>
      </c>
      <c r="F132" s="58" t="str">
        <f>IF(OR(WBS!$F132="",WBS!$T132=""),"",IF(AND(1&gt;=WBS!$F132,1&lt;=WBS!$T132),IF(WBS!$L132="Done",3,IF(WBS!$L132="Doing",2,IF(WBS!$L132="Blocked",4,IF(WBS!$L132="Deferred",5,1)))),""))</f>
        <v/>
      </c>
      <c r="G132" s="58" t="str">
        <f>IF(OR(WBS!$F132="",WBS!$T132=""),"",IF(AND(2&gt;=WBS!$F132,2&lt;=WBS!$T132),IF(WBS!$L132="Done",3,IF(WBS!$L132="Doing",2,IF(WBS!$L132="Blocked",4,IF(WBS!$L132="Deferred",5,1)))),""))</f>
        <v/>
      </c>
      <c r="H132" s="58" t="str">
        <f>IF(OR(WBS!$F132="",WBS!$T132=""),"",IF(AND(3&gt;=WBS!$F132,3&lt;=WBS!$T132),IF(WBS!$L132="Done",3,IF(WBS!$L132="Doing",2,IF(WBS!$L132="Blocked",4,IF(WBS!$L132="Deferred",5,1)))),""))</f>
        <v/>
      </c>
      <c r="I132" s="58" t="str">
        <f>IF(OR(WBS!$F132="",WBS!$T132=""),"",IF(AND(4&gt;=WBS!$F132,4&lt;=WBS!$T132),IF(WBS!$L132="Done",3,IF(WBS!$L132="Doing",2,IF(WBS!$L132="Blocked",4,IF(WBS!$L132="Deferred",5,1)))),""))</f>
        <v/>
      </c>
      <c r="J132" s="58" t="str">
        <f>IF(OR(WBS!$F132="",WBS!$T132=""),"",IF(AND(5&gt;=WBS!$F132,5&lt;=WBS!$T132),IF(WBS!$L132="Done",3,IF(WBS!$L132="Doing",2,IF(WBS!$L132="Blocked",4,IF(WBS!$L132="Deferred",5,1)))),""))</f>
        <v/>
      </c>
      <c r="K132" s="58" t="str">
        <f>IF(OR(WBS!$F132="",WBS!$T132=""),"",IF(AND(6&gt;=WBS!$F132,6&lt;=WBS!$T132),IF(WBS!$L132="Done",3,IF(WBS!$L132="Doing",2,IF(WBS!$L132="Blocked",4,IF(WBS!$L132="Deferred",5,1)))),""))</f>
        <v/>
      </c>
      <c r="L132" s="58" t="str">
        <f>IF(OR(WBS!$F132="",WBS!$T132=""),"",IF(AND(7&gt;=WBS!$F132,7&lt;=WBS!$T132),IF(WBS!$L132="Done",3,IF(WBS!$L132="Doing",2,IF(WBS!$L132="Blocked",4,IF(WBS!$L132="Deferred",5,1)))),""))</f>
        <v/>
      </c>
      <c r="M132" s="58" t="str">
        <f>IF(OR(WBS!$F132="",WBS!$T132=""),"",IF(AND(8&gt;=WBS!$F132,8&lt;=WBS!$T132),IF(WBS!$L132="Done",3,IF(WBS!$L132="Doing",2,IF(WBS!$L132="Blocked",4,IF(WBS!$L132="Deferred",5,1)))),""))</f>
        <v/>
      </c>
      <c r="N132" s="58" t="str">
        <f>IF(OR(WBS!$F132="",WBS!$T132=""),"",IF(AND(9&gt;=WBS!$F132,9&lt;=WBS!$T132),IF(WBS!$L132="Done",3,IF(WBS!$L132="Doing",2,IF(WBS!$L132="Blocked",4,IF(WBS!$L132="Deferred",5,1)))),""))</f>
        <v/>
      </c>
      <c r="O132" s="58" t="str">
        <f>IF(OR(WBS!$F132="",WBS!$T132=""),"",IF(AND(10&gt;=WBS!$F132,10&lt;=WBS!$T132),IF(WBS!$L132="Done",3,IF(WBS!$L132="Doing",2,IF(WBS!$L132="Blocked",4,IF(WBS!$L132="Deferred",5,1)))),""))</f>
        <v/>
      </c>
      <c r="P132" s="58" t="str">
        <f>IF(OR(WBS!$F132="",WBS!$T132=""),"",IF(AND(11&gt;=WBS!$F132,11&lt;=WBS!$T132),IF(WBS!$L132="Done",3,IF(WBS!$L132="Doing",2,IF(WBS!$L132="Blocked",4,IF(WBS!$L132="Deferred",5,1)))),""))</f>
        <v/>
      </c>
      <c r="Q132" s="58" t="str">
        <f>IF(OR(WBS!$F132="",WBS!$T132=""),"",IF(AND(12&gt;=WBS!$F132,12&lt;=WBS!$T132),IF(WBS!$L132="Done",3,IF(WBS!$L132="Doing",2,IF(WBS!$L132="Blocked",4,IF(WBS!$L132="Deferred",5,1)))),""))</f>
        <v/>
      </c>
      <c r="R132" s="58" t="str">
        <f>IF(OR(WBS!$F132="",WBS!$T132=""),"",IF(AND(13&gt;=WBS!$F132,13&lt;=WBS!$T132),IF(WBS!$L132="Done",3,IF(WBS!$L132="Doing",2,IF(WBS!$L132="Blocked",4,IF(WBS!$L132="Deferred",5,1)))),""))</f>
        <v/>
      </c>
      <c r="S132" s="58" t="str">
        <f>IF(OR(WBS!$F132="",WBS!$T132=""),"",IF(AND(14&gt;=WBS!$F132,14&lt;=WBS!$T132),IF(WBS!$L132="Done",3,IF(WBS!$L132="Doing",2,IF(WBS!$L132="Blocked",4,IF(WBS!$L132="Deferred",5,1)))),""))</f>
        <v/>
      </c>
      <c r="T132" s="58" t="str">
        <f>IF(OR(WBS!$F132="",WBS!$T132=""),"",IF(AND(15&gt;=WBS!$F132,15&lt;=WBS!$T132),IF(WBS!$L132="Done",3,IF(WBS!$L132="Doing",2,IF(WBS!$L132="Blocked",4,IF(WBS!$L132="Deferred",5,1)))),""))</f>
        <v/>
      </c>
      <c r="U132" s="58" t="str">
        <f>IF(OR(WBS!$F132="",WBS!$T132=""),"",IF(AND(16&gt;=WBS!$F132,16&lt;=WBS!$T132),IF(WBS!$L132="Done",3,IF(WBS!$L132="Doing",2,IF(WBS!$L132="Blocked",4,IF(WBS!$L132="Deferred",5,1)))),""))</f>
        <v/>
      </c>
      <c r="V132" s="58" t="str">
        <f>IF(OR(WBS!$F132="",WBS!$T132=""),"",IF(AND(17&gt;=WBS!$F132,17&lt;=WBS!$T132),IF(WBS!$L132="Done",3,IF(WBS!$L132="Doing",2,IF(WBS!$L132="Blocked",4,IF(WBS!$L132="Deferred",5,1)))),""))</f>
        <v/>
      </c>
      <c r="W132" s="58" t="str">
        <f>IF(OR(WBS!$F132="",WBS!$T132=""),"",IF(AND(18&gt;=WBS!$F132,18&lt;=WBS!$T132),IF(WBS!$L132="Done",3,IF(WBS!$L132="Doing",2,IF(WBS!$L132="Blocked",4,IF(WBS!$L132="Deferred",5,1)))),""))</f>
        <v/>
      </c>
      <c r="X132" s="58">
        <f>IF(OR(WBS!$F132="",WBS!$T132=""),"",IF(AND(19&gt;=WBS!$F132,19&lt;=WBS!$T132),IF(WBS!$L132="Done",3,IF(WBS!$L132="Doing",2,IF(WBS!$L132="Blocked",4,IF(WBS!$L132="Deferred",5,1)))),""))</f>
        <v>1</v>
      </c>
      <c r="Y132" s="58" t="str">
        <f>IF(OR(WBS!$F132="",WBS!$T132=""),"",IF(AND(20&gt;=WBS!$F132,20&lt;=WBS!$T132),IF(WBS!$L132="Done",3,IF(WBS!$L132="Doing",2,IF(WBS!$L132="Blocked",4,IF(WBS!$L132="Deferred",5,1)))),""))</f>
        <v/>
      </c>
      <c r="Z132" s="58" t="str">
        <f>IF(OR(WBS!$F132="",WBS!$T132=""),"",IF(AND(21&gt;=WBS!$F132,21&lt;=WBS!$T132),IF(WBS!$L132="Done",3,IF(WBS!$L132="Doing",2,IF(WBS!$L132="Blocked",4,IF(WBS!$L132="Deferred",5,1)))),""))</f>
        <v/>
      </c>
    </row>
    <row r="133" spans="1:26" x14ac:dyDescent="0.3">
      <c r="A133" s="64" t="str">
        <f>WBS!$A133</f>
        <v>8.1.4</v>
      </c>
      <c r="B133" s="65" t="str">
        <f>WBS!$C133</f>
        <v xml:space="preserve">        Data and privacy document with classification and rights</v>
      </c>
      <c r="C133" s="66" t="str">
        <f>IF(WBS!$E133="","",WBS!$E133)</f>
        <v>DOC</v>
      </c>
      <c r="D133" s="67">
        <f>WBS!$J133</f>
        <v>1</v>
      </c>
      <c r="E133" s="68">
        <f>WBS!$M133</f>
        <v>0</v>
      </c>
      <c r="F133" s="58" t="str">
        <f>IF(OR(WBS!$F133="",WBS!$T133=""),"",IF(AND(1&gt;=WBS!$F133,1&lt;=WBS!$T133),IF(WBS!$L133="Done",3,IF(WBS!$L133="Doing",2,IF(WBS!$L133="Blocked",4,IF(WBS!$L133="Deferred",5,1)))),""))</f>
        <v/>
      </c>
      <c r="G133" s="58" t="str">
        <f>IF(OR(WBS!$F133="",WBS!$T133=""),"",IF(AND(2&gt;=WBS!$F133,2&lt;=WBS!$T133),IF(WBS!$L133="Done",3,IF(WBS!$L133="Doing",2,IF(WBS!$L133="Blocked",4,IF(WBS!$L133="Deferred",5,1)))),""))</f>
        <v/>
      </c>
      <c r="H133" s="58" t="str">
        <f>IF(OR(WBS!$F133="",WBS!$T133=""),"",IF(AND(3&gt;=WBS!$F133,3&lt;=WBS!$T133),IF(WBS!$L133="Done",3,IF(WBS!$L133="Doing",2,IF(WBS!$L133="Blocked",4,IF(WBS!$L133="Deferred",5,1)))),""))</f>
        <v/>
      </c>
      <c r="I133" s="58" t="str">
        <f>IF(OR(WBS!$F133="",WBS!$T133=""),"",IF(AND(4&gt;=WBS!$F133,4&lt;=WBS!$T133),IF(WBS!$L133="Done",3,IF(WBS!$L133="Doing",2,IF(WBS!$L133="Blocked",4,IF(WBS!$L133="Deferred",5,1)))),""))</f>
        <v/>
      </c>
      <c r="J133" s="58" t="str">
        <f>IF(OR(WBS!$F133="",WBS!$T133=""),"",IF(AND(5&gt;=WBS!$F133,5&lt;=WBS!$T133),IF(WBS!$L133="Done",3,IF(WBS!$L133="Doing",2,IF(WBS!$L133="Blocked",4,IF(WBS!$L133="Deferred",5,1)))),""))</f>
        <v/>
      </c>
      <c r="K133" s="58" t="str">
        <f>IF(OR(WBS!$F133="",WBS!$T133=""),"",IF(AND(6&gt;=WBS!$F133,6&lt;=WBS!$T133),IF(WBS!$L133="Done",3,IF(WBS!$L133="Doing",2,IF(WBS!$L133="Blocked",4,IF(WBS!$L133="Deferred",5,1)))),""))</f>
        <v/>
      </c>
      <c r="L133" s="58" t="str">
        <f>IF(OR(WBS!$F133="",WBS!$T133=""),"",IF(AND(7&gt;=WBS!$F133,7&lt;=WBS!$T133),IF(WBS!$L133="Done",3,IF(WBS!$L133="Doing",2,IF(WBS!$L133="Blocked",4,IF(WBS!$L133="Deferred",5,1)))),""))</f>
        <v/>
      </c>
      <c r="M133" s="58" t="str">
        <f>IF(OR(WBS!$F133="",WBS!$T133=""),"",IF(AND(8&gt;=WBS!$F133,8&lt;=WBS!$T133),IF(WBS!$L133="Done",3,IF(WBS!$L133="Doing",2,IF(WBS!$L133="Blocked",4,IF(WBS!$L133="Deferred",5,1)))),""))</f>
        <v/>
      </c>
      <c r="N133" s="58" t="str">
        <f>IF(OR(WBS!$F133="",WBS!$T133=""),"",IF(AND(9&gt;=WBS!$F133,9&lt;=WBS!$T133),IF(WBS!$L133="Done",3,IF(WBS!$L133="Doing",2,IF(WBS!$L133="Blocked",4,IF(WBS!$L133="Deferred",5,1)))),""))</f>
        <v/>
      </c>
      <c r="O133" s="58" t="str">
        <f>IF(OR(WBS!$F133="",WBS!$T133=""),"",IF(AND(10&gt;=WBS!$F133,10&lt;=WBS!$T133),IF(WBS!$L133="Done",3,IF(WBS!$L133="Doing",2,IF(WBS!$L133="Blocked",4,IF(WBS!$L133="Deferred",5,1)))),""))</f>
        <v/>
      </c>
      <c r="P133" s="58" t="str">
        <f>IF(OR(WBS!$F133="",WBS!$T133=""),"",IF(AND(11&gt;=WBS!$F133,11&lt;=WBS!$T133),IF(WBS!$L133="Done",3,IF(WBS!$L133="Doing",2,IF(WBS!$L133="Blocked",4,IF(WBS!$L133="Deferred",5,1)))),""))</f>
        <v/>
      </c>
      <c r="Q133" s="58" t="str">
        <f>IF(OR(WBS!$F133="",WBS!$T133=""),"",IF(AND(12&gt;=WBS!$F133,12&lt;=WBS!$T133),IF(WBS!$L133="Done",3,IF(WBS!$L133="Doing",2,IF(WBS!$L133="Blocked",4,IF(WBS!$L133="Deferred",5,1)))),""))</f>
        <v/>
      </c>
      <c r="R133" s="58" t="str">
        <f>IF(OR(WBS!$F133="",WBS!$T133=""),"",IF(AND(13&gt;=WBS!$F133,13&lt;=WBS!$T133),IF(WBS!$L133="Done",3,IF(WBS!$L133="Doing",2,IF(WBS!$L133="Blocked",4,IF(WBS!$L133="Deferred",5,1)))),""))</f>
        <v/>
      </c>
      <c r="S133" s="58" t="str">
        <f>IF(OR(WBS!$F133="",WBS!$T133=""),"",IF(AND(14&gt;=WBS!$F133,14&lt;=WBS!$T133),IF(WBS!$L133="Done",3,IF(WBS!$L133="Doing",2,IF(WBS!$L133="Blocked",4,IF(WBS!$L133="Deferred",5,1)))),""))</f>
        <v/>
      </c>
      <c r="T133" s="58" t="str">
        <f>IF(OR(WBS!$F133="",WBS!$T133=""),"",IF(AND(15&gt;=WBS!$F133,15&lt;=WBS!$T133),IF(WBS!$L133="Done",3,IF(WBS!$L133="Doing",2,IF(WBS!$L133="Blocked",4,IF(WBS!$L133="Deferred",5,1)))),""))</f>
        <v/>
      </c>
      <c r="U133" s="58" t="str">
        <f>IF(OR(WBS!$F133="",WBS!$T133=""),"",IF(AND(16&gt;=WBS!$F133,16&lt;=WBS!$T133),IF(WBS!$L133="Done",3,IF(WBS!$L133="Doing",2,IF(WBS!$L133="Blocked",4,IF(WBS!$L133="Deferred",5,1)))),""))</f>
        <v/>
      </c>
      <c r="V133" s="58" t="str">
        <f>IF(OR(WBS!$F133="",WBS!$T133=""),"",IF(AND(17&gt;=WBS!$F133,17&lt;=WBS!$T133),IF(WBS!$L133="Done",3,IF(WBS!$L133="Doing",2,IF(WBS!$L133="Blocked",4,IF(WBS!$L133="Deferred",5,1)))),""))</f>
        <v/>
      </c>
      <c r="W133" s="58" t="str">
        <f>IF(OR(WBS!$F133="",WBS!$T133=""),"",IF(AND(18&gt;=WBS!$F133,18&lt;=WBS!$T133),IF(WBS!$L133="Done",3,IF(WBS!$L133="Doing",2,IF(WBS!$L133="Blocked",4,IF(WBS!$L133="Deferred",5,1)))),""))</f>
        <v/>
      </c>
      <c r="X133" s="58">
        <f>IF(OR(WBS!$F133="",WBS!$T133=""),"",IF(AND(19&gt;=WBS!$F133,19&lt;=WBS!$T133),IF(WBS!$L133="Done",3,IF(WBS!$L133="Doing",2,IF(WBS!$L133="Blocked",4,IF(WBS!$L133="Deferred",5,1)))),""))</f>
        <v>1</v>
      </c>
      <c r="Y133" s="58" t="str">
        <f>IF(OR(WBS!$F133="",WBS!$T133=""),"",IF(AND(20&gt;=WBS!$F133,20&lt;=WBS!$T133),IF(WBS!$L133="Done",3,IF(WBS!$L133="Doing",2,IF(WBS!$L133="Blocked",4,IF(WBS!$L133="Deferred",5,1)))),""))</f>
        <v/>
      </c>
      <c r="Z133" s="58" t="str">
        <f>IF(OR(WBS!$F133="",WBS!$T133=""),"",IF(AND(21&gt;=WBS!$F133,21&lt;=WBS!$T133),IF(WBS!$L133="Done",3,IF(WBS!$L133="Doing",2,IF(WBS!$L133="Blocked",4,IF(WBS!$L133="Deferred",5,1)))),""))</f>
        <v/>
      </c>
    </row>
    <row r="134" spans="1:26" x14ac:dyDescent="0.3">
      <c r="A134" s="59" t="str">
        <f>WBS!$A134</f>
        <v>8.2</v>
      </c>
      <c r="B134" s="60" t="str">
        <f>WBS!$C134</f>
        <v xml:space="preserve">    AI usage pack</v>
      </c>
      <c r="C134" s="61" t="str">
        <f>IF(WBS!$E134="","",WBS!$E134)</f>
        <v/>
      </c>
      <c r="D134" s="62">
        <f>WBS!$J134</f>
        <v>2</v>
      </c>
      <c r="E134" s="63">
        <f>WBS!$M134</f>
        <v>0</v>
      </c>
      <c r="F134" s="58" t="str">
        <f>IF(OR(WBS!$F134="",WBS!$T134=""),"",IF(AND(1&gt;=WBS!$F134,1&lt;=WBS!$T134),IF(WBS!$L134="Done",3,IF(WBS!$L134="Doing",2,IF(WBS!$L134="Blocked",4,IF(WBS!$L134="Deferred",5,1)))),""))</f>
        <v/>
      </c>
      <c r="G134" s="58" t="str">
        <f>IF(OR(WBS!$F134="",WBS!$T134=""),"",IF(AND(2&gt;=WBS!$F134,2&lt;=WBS!$T134),IF(WBS!$L134="Done",3,IF(WBS!$L134="Doing",2,IF(WBS!$L134="Blocked",4,IF(WBS!$L134="Deferred",5,1)))),""))</f>
        <v/>
      </c>
      <c r="H134" s="58" t="str">
        <f>IF(OR(WBS!$F134="",WBS!$T134=""),"",IF(AND(3&gt;=WBS!$F134,3&lt;=WBS!$T134),IF(WBS!$L134="Done",3,IF(WBS!$L134="Doing",2,IF(WBS!$L134="Blocked",4,IF(WBS!$L134="Deferred",5,1)))),""))</f>
        <v/>
      </c>
      <c r="I134" s="58" t="str">
        <f>IF(OR(WBS!$F134="",WBS!$T134=""),"",IF(AND(4&gt;=WBS!$F134,4&lt;=WBS!$T134),IF(WBS!$L134="Done",3,IF(WBS!$L134="Doing",2,IF(WBS!$L134="Blocked",4,IF(WBS!$L134="Deferred",5,1)))),""))</f>
        <v/>
      </c>
      <c r="J134" s="58" t="str">
        <f>IF(OR(WBS!$F134="",WBS!$T134=""),"",IF(AND(5&gt;=WBS!$F134,5&lt;=WBS!$T134),IF(WBS!$L134="Done",3,IF(WBS!$L134="Doing",2,IF(WBS!$L134="Blocked",4,IF(WBS!$L134="Deferred",5,1)))),""))</f>
        <v/>
      </c>
      <c r="K134" s="58" t="str">
        <f>IF(OR(WBS!$F134="",WBS!$T134=""),"",IF(AND(6&gt;=WBS!$F134,6&lt;=WBS!$T134),IF(WBS!$L134="Done",3,IF(WBS!$L134="Doing",2,IF(WBS!$L134="Blocked",4,IF(WBS!$L134="Deferred",5,1)))),""))</f>
        <v/>
      </c>
      <c r="L134" s="58" t="str">
        <f>IF(OR(WBS!$F134="",WBS!$T134=""),"",IF(AND(7&gt;=WBS!$F134,7&lt;=WBS!$T134),IF(WBS!$L134="Done",3,IF(WBS!$L134="Doing",2,IF(WBS!$L134="Blocked",4,IF(WBS!$L134="Deferred",5,1)))),""))</f>
        <v/>
      </c>
      <c r="M134" s="58" t="str">
        <f>IF(OR(WBS!$F134="",WBS!$T134=""),"",IF(AND(8&gt;=WBS!$F134,8&lt;=WBS!$T134),IF(WBS!$L134="Done",3,IF(WBS!$L134="Doing",2,IF(WBS!$L134="Blocked",4,IF(WBS!$L134="Deferred",5,1)))),""))</f>
        <v/>
      </c>
      <c r="N134" s="58" t="str">
        <f>IF(OR(WBS!$F134="",WBS!$T134=""),"",IF(AND(9&gt;=WBS!$F134,9&lt;=WBS!$T134),IF(WBS!$L134="Done",3,IF(WBS!$L134="Doing",2,IF(WBS!$L134="Blocked",4,IF(WBS!$L134="Deferred",5,1)))),""))</f>
        <v/>
      </c>
      <c r="O134" s="58" t="str">
        <f>IF(OR(WBS!$F134="",WBS!$T134=""),"",IF(AND(10&gt;=WBS!$F134,10&lt;=WBS!$T134),IF(WBS!$L134="Done",3,IF(WBS!$L134="Doing",2,IF(WBS!$L134="Blocked",4,IF(WBS!$L134="Deferred",5,1)))),""))</f>
        <v/>
      </c>
      <c r="P134" s="58" t="str">
        <f>IF(OR(WBS!$F134="",WBS!$T134=""),"",IF(AND(11&gt;=WBS!$F134,11&lt;=WBS!$T134),IF(WBS!$L134="Done",3,IF(WBS!$L134="Doing",2,IF(WBS!$L134="Blocked",4,IF(WBS!$L134="Deferred",5,1)))),""))</f>
        <v/>
      </c>
      <c r="Q134" s="58" t="str">
        <f>IF(OR(WBS!$F134="",WBS!$T134=""),"",IF(AND(12&gt;=WBS!$F134,12&lt;=WBS!$T134),IF(WBS!$L134="Done",3,IF(WBS!$L134="Doing",2,IF(WBS!$L134="Blocked",4,IF(WBS!$L134="Deferred",5,1)))),""))</f>
        <v/>
      </c>
      <c r="R134" s="58" t="str">
        <f>IF(OR(WBS!$F134="",WBS!$T134=""),"",IF(AND(13&gt;=WBS!$F134,13&lt;=WBS!$T134),IF(WBS!$L134="Done",3,IF(WBS!$L134="Doing",2,IF(WBS!$L134="Blocked",4,IF(WBS!$L134="Deferred",5,1)))),""))</f>
        <v/>
      </c>
      <c r="S134" s="58" t="str">
        <f>IF(OR(WBS!$F134="",WBS!$T134=""),"",IF(AND(14&gt;=WBS!$F134,14&lt;=WBS!$T134),IF(WBS!$L134="Done",3,IF(WBS!$L134="Doing",2,IF(WBS!$L134="Blocked",4,IF(WBS!$L134="Deferred",5,1)))),""))</f>
        <v/>
      </c>
      <c r="T134" s="58" t="str">
        <f>IF(OR(WBS!$F134="",WBS!$T134=""),"",IF(AND(15&gt;=WBS!$F134,15&lt;=WBS!$T134),IF(WBS!$L134="Done",3,IF(WBS!$L134="Doing",2,IF(WBS!$L134="Blocked",4,IF(WBS!$L134="Deferred",5,1)))),""))</f>
        <v/>
      </c>
      <c r="U134" s="58" t="str">
        <f>IF(OR(WBS!$F134="",WBS!$T134=""),"",IF(AND(16&gt;=WBS!$F134,16&lt;=WBS!$T134),IF(WBS!$L134="Done",3,IF(WBS!$L134="Doing",2,IF(WBS!$L134="Blocked",4,IF(WBS!$L134="Deferred",5,1)))),""))</f>
        <v/>
      </c>
      <c r="V134" s="58" t="str">
        <f>IF(OR(WBS!$F134="",WBS!$T134=""),"",IF(AND(17&gt;=WBS!$F134,17&lt;=WBS!$T134),IF(WBS!$L134="Done",3,IF(WBS!$L134="Doing",2,IF(WBS!$L134="Blocked",4,IF(WBS!$L134="Deferred",5,1)))),""))</f>
        <v/>
      </c>
      <c r="W134" s="58" t="str">
        <f>IF(OR(WBS!$F134="",WBS!$T134=""),"",IF(AND(18&gt;=WBS!$F134,18&lt;=WBS!$T134),IF(WBS!$L134="Done",3,IF(WBS!$L134="Doing",2,IF(WBS!$L134="Blocked",4,IF(WBS!$L134="Deferred",5,1)))),""))</f>
        <v/>
      </c>
      <c r="X134" s="58">
        <f>IF(OR(WBS!$F134="",WBS!$T134=""),"",IF(AND(19&gt;=WBS!$F134,19&lt;=WBS!$T134),IF(WBS!$L134="Done",3,IF(WBS!$L134="Doing",2,IF(WBS!$L134="Blocked",4,IF(WBS!$L134="Deferred",5,1)))),""))</f>
        <v>1</v>
      </c>
      <c r="Y134" s="58" t="str">
        <f>IF(OR(WBS!$F134="",WBS!$T134=""),"",IF(AND(20&gt;=WBS!$F134,20&lt;=WBS!$T134),IF(WBS!$L134="Done",3,IF(WBS!$L134="Doing",2,IF(WBS!$L134="Blocked",4,IF(WBS!$L134="Deferred",5,1)))),""))</f>
        <v/>
      </c>
      <c r="Z134" s="58" t="str">
        <f>IF(OR(WBS!$F134="",WBS!$T134=""),"",IF(AND(21&gt;=WBS!$F134,21&lt;=WBS!$T134),IF(WBS!$L134="Done",3,IF(WBS!$L134="Doing",2,IF(WBS!$L134="Blocked",4,IF(WBS!$L134="Deferred",5,1)))),""))</f>
        <v/>
      </c>
    </row>
    <row r="135" spans="1:26" x14ac:dyDescent="0.3">
      <c r="A135" s="64" t="str">
        <f>WBS!$A135</f>
        <v>8.2.1</v>
      </c>
      <c r="B135" s="65" t="str">
        <f>WBS!$C135</f>
        <v xml:space="preserve">        Assemble journal, prompt library and ai-was-wrong entries</v>
      </c>
      <c r="C135" s="66" t="str">
        <f>IF(WBS!$E135="","",WBS!$E135)</f>
        <v>DOC</v>
      </c>
      <c r="D135" s="67">
        <f>WBS!$J135</f>
        <v>2</v>
      </c>
      <c r="E135" s="68">
        <f>WBS!$M135</f>
        <v>0</v>
      </c>
      <c r="F135" s="58" t="str">
        <f>IF(OR(WBS!$F135="",WBS!$T135=""),"",IF(AND(1&gt;=WBS!$F135,1&lt;=WBS!$T135),IF(WBS!$L135="Done",3,IF(WBS!$L135="Doing",2,IF(WBS!$L135="Blocked",4,IF(WBS!$L135="Deferred",5,1)))),""))</f>
        <v/>
      </c>
      <c r="G135" s="58" t="str">
        <f>IF(OR(WBS!$F135="",WBS!$T135=""),"",IF(AND(2&gt;=WBS!$F135,2&lt;=WBS!$T135),IF(WBS!$L135="Done",3,IF(WBS!$L135="Doing",2,IF(WBS!$L135="Blocked",4,IF(WBS!$L135="Deferred",5,1)))),""))</f>
        <v/>
      </c>
      <c r="H135" s="58" t="str">
        <f>IF(OR(WBS!$F135="",WBS!$T135=""),"",IF(AND(3&gt;=WBS!$F135,3&lt;=WBS!$T135),IF(WBS!$L135="Done",3,IF(WBS!$L135="Doing",2,IF(WBS!$L135="Blocked",4,IF(WBS!$L135="Deferred",5,1)))),""))</f>
        <v/>
      </c>
      <c r="I135" s="58" t="str">
        <f>IF(OR(WBS!$F135="",WBS!$T135=""),"",IF(AND(4&gt;=WBS!$F135,4&lt;=WBS!$T135),IF(WBS!$L135="Done",3,IF(WBS!$L135="Doing",2,IF(WBS!$L135="Blocked",4,IF(WBS!$L135="Deferred",5,1)))),""))</f>
        <v/>
      </c>
      <c r="J135" s="58" t="str">
        <f>IF(OR(WBS!$F135="",WBS!$T135=""),"",IF(AND(5&gt;=WBS!$F135,5&lt;=WBS!$T135),IF(WBS!$L135="Done",3,IF(WBS!$L135="Doing",2,IF(WBS!$L135="Blocked",4,IF(WBS!$L135="Deferred",5,1)))),""))</f>
        <v/>
      </c>
      <c r="K135" s="58" t="str">
        <f>IF(OR(WBS!$F135="",WBS!$T135=""),"",IF(AND(6&gt;=WBS!$F135,6&lt;=WBS!$T135),IF(WBS!$L135="Done",3,IF(WBS!$L135="Doing",2,IF(WBS!$L135="Blocked",4,IF(WBS!$L135="Deferred",5,1)))),""))</f>
        <v/>
      </c>
      <c r="L135" s="58" t="str">
        <f>IF(OR(WBS!$F135="",WBS!$T135=""),"",IF(AND(7&gt;=WBS!$F135,7&lt;=WBS!$T135),IF(WBS!$L135="Done",3,IF(WBS!$L135="Doing",2,IF(WBS!$L135="Blocked",4,IF(WBS!$L135="Deferred",5,1)))),""))</f>
        <v/>
      </c>
      <c r="M135" s="58" t="str">
        <f>IF(OR(WBS!$F135="",WBS!$T135=""),"",IF(AND(8&gt;=WBS!$F135,8&lt;=WBS!$T135),IF(WBS!$L135="Done",3,IF(WBS!$L135="Doing",2,IF(WBS!$L135="Blocked",4,IF(WBS!$L135="Deferred",5,1)))),""))</f>
        <v/>
      </c>
      <c r="N135" s="58" t="str">
        <f>IF(OR(WBS!$F135="",WBS!$T135=""),"",IF(AND(9&gt;=WBS!$F135,9&lt;=WBS!$T135),IF(WBS!$L135="Done",3,IF(WBS!$L135="Doing",2,IF(WBS!$L135="Blocked",4,IF(WBS!$L135="Deferred",5,1)))),""))</f>
        <v/>
      </c>
      <c r="O135" s="58" t="str">
        <f>IF(OR(WBS!$F135="",WBS!$T135=""),"",IF(AND(10&gt;=WBS!$F135,10&lt;=WBS!$T135),IF(WBS!$L135="Done",3,IF(WBS!$L135="Doing",2,IF(WBS!$L135="Blocked",4,IF(WBS!$L135="Deferred",5,1)))),""))</f>
        <v/>
      </c>
      <c r="P135" s="58" t="str">
        <f>IF(OR(WBS!$F135="",WBS!$T135=""),"",IF(AND(11&gt;=WBS!$F135,11&lt;=WBS!$T135),IF(WBS!$L135="Done",3,IF(WBS!$L135="Doing",2,IF(WBS!$L135="Blocked",4,IF(WBS!$L135="Deferred",5,1)))),""))</f>
        <v/>
      </c>
      <c r="Q135" s="58" t="str">
        <f>IF(OR(WBS!$F135="",WBS!$T135=""),"",IF(AND(12&gt;=WBS!$F135,12&lt;=WBS!$T135),IF(WBS!$L135="Done",3,IF(WBS!$L135="Doing",2,IF(WBS!$L135="Blocked",4,IF(WBS!$L135="Deferred",5,1)))),""))</f>
        <v/>
      </c>
      <c r="R135" s="58" t="str">
        <f>IF(OR(WBS!$F135="",WBS!$T135=""),"",IF(AND(13&gt;=WBS!$F135,13&lt;=WBS!$T135),IF(WBS!$L135="Done",3,IF(WBS!$L135="Doing",2,IF(WBS!$L135="Blocked",4,IF(WBS!$L135="Deferred",5,1)))),""))</f>
        <v/>
      </c>
      <c r="S135" s="58" t="str">
        <f>IF(OR(WBS!$F135="",WBS!$T135=""),"",IF(AND(14&gt;=WBS!$F135,14&lt;=WBS!$T135),IF(WBS!$L135="Done",3,IF(WBS!$L135="Doing",2,IF(WBS!$L135="Blocked",4,IF(WBS!$L135="Deferred",5,1)))),""))</f>
        <v/>
      </c>
      <c r="T135" s="58" t="str">
        <f>IF(OR(WBS!$F135="",WBS!$T135=""),"",IF(AND(15&gt;=WBS!$F135,15&lt;=WBS!$T135),IF(WBS!$L135="Done",3,IF(WBS!$L135="Doing",2,IF(WBS!$L135="Blocked",4,IF(WBS!$L135="Deferred",5,1)))),""))</f>
        <v/>
      </c>
      <c r="U135" s="58" t="str">
        <f>IF(OR(WBS!$F135="",WBS!$T135=""),"",IF(AND(16&gt;=WBS!$F135,16&lt;=WBS!$T135),IF(WBS!$L135="Done",3,IF(WBS!$L135="Doing",2,IF(WBS!$L135="Blocked",4,IF(WBS!$L135="Deferred",5,1)))),""))</f>
        <v/>
      </c>
      <c r="V135" s="58" t="str">
        <f>IF(OR(WBS!$F135="",WBS!$T135=""),"",IF(AND(17&gt;=WBS!$F135,17&lt;=WBS!$T135),IF(WBS!$L135="Done",3,IF(WBS!$L135="Doing",2,IF(WBS!$L135="Blocked",4,IF(WBS!$L135="Deferred",5,1)))),""))</f>
        <v/>
      </c>
      <c r="W135" s="58" t="str">
        <f>IF(OR(WBS!$F135="",WBS!$T135=""),"",IF(AND(18&gt;=WBS!$F135,18&lt;=WBS!$T135),IF(WBS!$L135="Done",3,IF(WBS!$L135="Doing",2,IF(WBS!$L135="Blocked",4,IF(WBS!$L135="Deferred",5,1)))),""))</f>
        <v/>
      </c>
      <c r="X135" s="58">
        <f>IF(OR(WBS!$F135="",WBS!$T135=""),"",IF(AND(19&gt;=WBS!$F135,19&lt;=WBS!$T135),IF(WBS!$L135="Done",3,IF(WBS!$L135="Doing",2,IF(WBS!$L135="Blocked",4,IF(WBS!$L135="Deferred",5,1)))),""))</f>
        <v>1</v>
      </c>
      <c r="Y135" s="58" t="str">
        <f>IF(OR(WBS!$F135="",WBS!$T135=""),"",IF(AND(20&gt;=WBS!$F135,20&lt;=WBS!$T135),IF(WBS!$L135="Done",3,IF(WBS!$L135="Doing",2,IF(WBS!$L135="Blocked",4,IF(WBS!$L135="Deferred",5,1)))),""))</f>
        <v/>
      </c>
      <c r="Z135" s="58" t="str">
        <f>IF(OR(WBS!$F135="",WBS!$T135=""),"",IF(AND(21&gt;=WBS!$F135,21&lt;=WBS!$T135),IF(WBS!$L135="Done",3,IF(WBS!$L135="Doing",2,IF(WBS!$L135="Blocked",4,IF(WBS!$L135="Deferred",5,1)))),""))</f>
        <v/>
      </c>
    </row>
    <row r="136" spans="1:26" x14ac:dyDescent="0.3">
      <c r="A136" s="59" t="str">
        <f>WBS!$A136</f>
        <v>8.3</v>
      </c>
      <c r="B136" s="60" t="str">
        <f>WBS!$C136</f>
        <v xml:space="preserve">    Demonstration</v>
      </c>
      <c r="C136" s="61" t="str">
        <f>IF(WBS!$E136="","",WBS!$E136)</f>
        <v/>
      </c>
      <c r="D136" s="62">
        <f>WBS!$J136</f>
        <v>7</v>
      </c>
      <c r="E136" s="63">
        <f>WBS!$M136</f>
        <v>0</v>
      </c>
      <c r="F136" s="58" t="str">
        <f>IF(OR(WBS!$F136="",WBS!$T136=""),"",IF(AND(1&gt;=WBS!$F136,1&lt;=WBS!$T136),IF(WBS!$L136="Done",3,IF(WBS!$L136="Doing",2,IF(WBS!$L136="Blocked",4,IF(WBS!$L136="Deferred",5,1)))),""))</f>
        <v/>
      </c>
      <c r="G136" s="58" t="str">
        <f>IF(OR(WBS!$F136="",WBS!$T136=""),"",IF(AND(2&gt;=WBS!$F136,2&lt;=WBS!$T136),IF(WBS!$L136="Done",3,IF(WBS!$L136="Doing",2,IF(WBS!$L136="Blocked",4,IF(WBS!$L136="Deferred",5,1)))),""))</f>
        <v/>
      </c>
      <c r="H136" s="58" t="str">
        <f>IF(OR(WBS!$F136="",WBS!$T136=""),"",IF(AND(3&gt;=WBS!$F136,3&lt;=WBS!$T136),IF(WBS!$L136="Done",3,IF(WBS!$L136="Doing",2,IF(WBS!$L136="Blocked",4,IF(WBS!$L136="Deferred",5,1)))),""))</f>
        <v/>
      </c>
      <c r="I136" s="58" t="str">
        <f>IF(OR(WBS!$F136="",WBS!$T136=""),"",IF(AND(4&gt;=WBS!$F136,4&lt;=WBS!$T136),IF(WBS!$L136="Done",3,IF(WBS!$L136="Doing",2,IF(WBS!$L136="Blocked",4,IF(WBS!$L136="Deferred",5,1)))),""))</f>
        <v/>
      </c>
      <c r="J136" s="58" t="str">
        <f>IF(OR(WBS!$F136="",WBS!$T136=""),"",IF(AND(5&gt;=WBS!$F136,5&lt;=WBS!$T136),IF(WBS!$L136="Done",3,IF(WBS!$L136="Doing",2,IF(WBS!$L136="Blocked",4,IF(WBS!$L136="Deferred",5,1)))),""))</f>
        <v/>
      </c>
      <c r="K136" s="58" t="str">
        <f>IF(OR(WBS!$F136="",WBS!$T136=""),"",IF(AND(6&gt;=WBS!$F136,6&lt;=WBS!$T136),IF(WBS!$L136="Done",3,IF(WBS!$L136="Doing",2,IF(WBS!$L136="Blocked",4,IF(WBS!$L136="Deferred",5,1)))),""))</f>
        <v/>
      </c>
      <c r="L136" s="58" t="str">
        <f>IF(OR(WBS!$F136="",WBS!$T136=""),"",IF(AND(7&gt;=WBS!$F136,7&lt;=WBS!$T136),IF(WBS!$L136="Done",3,IF(WBS!$L136="Doing",2,IF(WBS!$L136="Blocked",4,IF(WBS!$L136="Deferred",5,1)))),""))</f>
        <v/>
      </c>
      <c r="M136" s="58" t="str">
        <f>IF(OR(WBS!$F136="",WBS!$T136=""),"",IF(AND(8&gt;=WBS!$F136,8&lt;=WBS!$T136),IF(WBS!$L136="Done",3,IF(WBS!$L136="Doing",2,IF(WBS!$L136="Blocked",4,IF(WBS!$L136="Deferred",5,1)))),""))</f>
        <v/>
      </c>
      <c r="N136" s="58" t="str">
        <f>IF(OR(WBS!$F136="",WBS!$T136=""),"",IF(AND(9&gt;=WBS!$F136,9&lt;=WBS!$T136),IF(WBS!$L136="Done",3,IF(WBS!$L136="Doing",2,IF(WBS!$L136="Blocked",4,IF(WBS!$L136="Deferred",5,1)))),""))</f>
        <v/>
      </c>
      <c r="O136" s="58" t="str">
        <f>IF(OR(WBS!$F136="",WBS!$T136=""),"",IF(AND(10&gt;=WBS!$F136,10&lt;=WBS!$T136),IF(WBS!$L136="Done",3,IF(WBS!$L136="Doing",2,IF(WBS!$L136="Blocked",4,IF(WBS!$L136="Deferred",5,1)))),""))</f>
        <v/>
      </c>
      <c r="P136" s="58" t="str">
        <f>IF(OR(WBS!$F136="",WBS!$T136=""),"",IF(AND(11&gt;=WBS!$F136,11&lt;=WBS!$T136),IF(WBS!$L136="Done",3,IF(WBS!$L136="Doing",2,IF(WBS!$L136="Blocked",4,IF(WBS!$L136="Deferred",5,1)))),""))</f>
        <v/>
      </c>
      <c r="Q136" s="58" t="str">
        <f>IF(OR(WBS!$F136="",WBS!$T136=""),"",IF(AND(12&gt;=WBS!$F136,12&lt;=WBS!$T136),IF(WBS!$L136="Done",3,IF(WBS!$L136="Doing",2,IF(WBS!$L136="Blocked",4,IF(WBS!$L136="Deferred",5,1)))),""))</f>
        <v/>
      </c>
      <c r="R136" s="58" t="str">
        <f>IF(OR(WBS!$F136="",WBS!$T136=""),"",IF(AND(13&gt;=WBS!$F136,13&lt;=WBS!$T136),IF(WBS!$L136="Done",3,IF(WBS!$L136="Doing",2,IF(WBS!$L136="Blocked",4,IF(WBS!$L136="Deferred",5,1)))),""))</f>
        <v/>
      </c>
      <c r="S136" s="58" t="str">
        <f>IF(OR(WBS!$F136="",WBS!$T136=""),"",IF(AND(14&gt;=WBS!$F136,14&lt;=WBS!$T136),IF(WBS!$L136="Done",3,IF(WBS!$L136="Doing",2,IF(WBS!$L136="Blocked",4,IF(WBS!$L136="Deferred",5,1)))),""))</f>
        <v/>
      </c>
      <c r="T136" s="58" t="str">
        <f>IF(OR(WBS!$F136="",WBS!$T136=""),"",IF(AND(15&gt;=WBS!$F136,15&lt;=WBS!$T136),IF(WBS!$L136="Done",3,IF(WBS!$L136="Doing",2,IF(WBS!$L136="Blocked",4,IF(WBS!$L136="Deferred",5,1)))),""))</f>
        <v/>
      </c>
      <c r="U136" s="58" t="str">
        <f>IF(OR(WBS!$F136="",WBS!$T136=""),"",IF(AND(16&gt;=WBS!$F136,16&lt;=WBS!$T136),IF(WBS!$L136="Done",3,IF(WBS!$L136="Doing",2,IF(WBS!$L136="Blocked",4,IF(WBS!$L136="Deferred",5,1)))),""))</f>
        <v/>
      </c>
      <c r="V136" s="58" t="str">
        <f>IF(OR(WBS!$F136="",WBS!$T136=""),"",IF(AND(17&gt;=WBS!$F136,17&lt;=WBS!$T136),IF(WBS!$L136="Done",3,IF(WBS!$L136="Doing",2,IF(WBS!$L136="Blocked",4,IF(WBS!$L136="Deferred",5,1)))),""))</f>
        <v/>
      </c>
      <c r="W136" s="58" t="str">
        <f>IF(OR(WBS!$F136="",WBS!$T136=""),"",IF(AND(18&gt;=WBS!$F136,18&lt;=WBS!$T136),IF(WBS!$L136="Done",3,IF(WBS!$L136="Doing",2,IF(WBS!$L136="Blocked",4,IF(WBS!$L136="Deferred",5,1)))),""))</f>
        <v/>
      </c>
      <c r="X136" s="58" t="str">
        <f>IF(OR(WBS!$F136="",WBS!$T136=""),"",IF(AND(19&gt;=WBS!$F136,19&lt;=WBS!$T136),IF(WBS!$L136="Done",3,IF(WBS!$L136="Doing",2,IF(WBS!$L136="Blocked",4,IF(WBS!$L136="Deferred",5,1)))),""))</f>
        <v/>
      </c>
      <c r="Y136" s="58">
        <f>IF(OR(WBS!$F136="",WBS!$T136=""),"",IF(AND(20&gt;=WBS!$F136,20&lt;=WBS!$T136),IF(WBS!$L136="Done",3,IF(WBS!$L136="Doing",2,IF(WBS!$L136="Blocked",4,IF(WBS!$L136="Deferred",5,1)))),""))</f>
        <v>1</v>
      </c>
      <c r="Z136" s="58" t="str">
        <f>IF(OR(WBS!$F136="",WBS!$T136=""),"",IF(AND(21&gt;=WBS!$F136,21&lt;=WBS!$T136),IF(WBS!$L136="Done",3,IF(WBS!$L136="Doing",2,IF(WBS!$L136="Blocked",4,IF(WBS!$L136="Deferred",5,1)))),""))</f>
        <v/>
      </c>
    </row>
    <row r="137" spans="1:26" x14ac:dyDescent="0.3">
      <c r="A137" s="64" t="str">
        <f>WBS!$A137</f>
        <v>8.3.1</v>
      </c>
      <c r="B137" s="65" t="str">
        <f>WBS!$C137</f>
        <v xml:space="preserve">        Deterministic demo seed scenario and narrative script</v>
      </c>
      <c r="C137" s="66" t="str">
        <f>IF(WBS!$E137="","",WBS!$E137)</f>
        <v>DOC</v>
      </c>
      <c r="D137" s="67">
        <f>WBS!$J137</f>
        <v>2</v>
      </c>
      <c r="E137" s="68">
        <f>WBS!$M137</f>
        <v>0</v>
      </c>
      <c r="F137" s="58" t="str">
        <f>IF(OR(WBS!$F137="",WBS!$T137=""),"",IF(AND(1&gt;=WBS!$F137,1&lt;=WBS!$T137),IF(WBS!$L137="Done",3,IF(WBS!$L137="Doing",2,IF(WBS!$L137="Blocked",4,IF(WBS!$L137="Deferred",5,1)))),""))</f>
        <v/>
      </c>
      <c r="G137" s="58" t="str">
        <f>IF(OR(WBS!$F137="",WBS!$T137=""),"",IF(AND(2&gt;=WBS!$F137,2&lt;=WBS!$T137),IF(WBS!$L137="Done",3,IF(WBS!$L137="Doing",2,IF(WBS!$L137="Blocked",4,IF(WBS!$L137="Deferred",5,1)))),""))</f>
        <v/>
      </c>
      <c r="H137" s="58" t="str">
        <f>IF(OR(WBS!$F137="",WBS!$T137=""),"",IF(AND(3&gt;=WBS!$F137,3&lt;=WBS!$T137),IF(WBS!$L137="Done",3,IF(WBS!$L137="Doing",2,IF(WBS!$L137="Blocked",4,IF(WBS!$L137="Deferred",5,1)))),""))</f>
        <v/>
      </c>
      <c r="I137" s="58" t="str">
        <f>IF(OR(WBS!$F137="",WBS!$T137=""),"",IF(AND(4&gt;=WBS!$F137,4&lt;=WBS!$T137),IF(WBS!$L137="Done",3,IF(WBS!$L137="Doing",2,IF(WBS!$L137="Blocked",4,IF(WBS!$L137="Deferred",5,1)))),""))</f>
        <v/>
      </c>
      <c r="J137" s="58" t="str">
        <f>IF(OR(WBS!$F137="",WBS!$T137=""),"",IF(AND(5&gt;=WBS!$F137,5&lt;=WBS!$T137),IF(WBS!$L137="Done",3,IF(WBS!$L137="Doing",2,IF(WBS!$L137="Blocked",4,IF(WBS!$L137="Deferred",5,1)))),""))</f>
        <v/>
      </c>
      <c r="K137" s="58" t="str">
        <f>IF(OR(WBS!$F137="",WBS!$T137=""),"",IF(AND(6&gt;=WBS!$F137,6&lt;=WBS!$T137),IF(WBS!$L137="Done",3,IF(WBS!$L137="Doing",2,IF(WBS!$L137="Blocked",4,IF(WBS!$L137="Deferred",5,1)))),""))</f>
        <v/>
      </c>
      <c r="L137" s="58" t="str">
        <f>IF(OR(WBS!$F137="",WBS!$T137=""),"",IF(AND(7&gt;=WBS!$F137,7&lt;=WBS!$T137),IF(WBS!$L137="Done",3,IF(WBS!$L137="Doing",2,IF(WBS!$L137="Blocked",4,IF(WBS!$L137="Deferred",5,1)))),""))</f>
        <v/>
      </c>
      <c r="M137" s="58" t="str">
        <f>IF(OR(WBS!$F137="",WBS!$T137=""),"",IF(AND(8&gt;=WBS!$F137,8&lt;=WBS!$T137),IF(WBS!$L137="Done",3,IF(WBS!$L137="Doing",2,IF(WBS!$L137="Blocked",4,IF(WBS!$L137="Deferred",5,1)))),""))</f>
        <v/>
      </c>
      <c r="N137" s="58" t="str">
        <f>IF(OR(WBS!$F137="",WBS!$T137=""),"",IF(AND(9&gt;=WBS!$F137,9&lt;=WBS!$T137),IF(WBS!$L137="Done",3,IF(WBS!$L137="Doing",2,IF(WBS!$L137="Blocked",4,IF(WBS!$L137="Deferred",5,1)))),""))</f>
        <v/>
      </c>
      <c r="O137" s="58" t="str">
        <f>IF(OR(WBS!$F137="",WBS!$T137=""),"",IF(AND(10&gt;=WBS!$F137,10&lt;=WBS!$T137),IF(WBS!$L137="Done",3,IF(WBS!$L137="Doing",2,IF(WBS!$L137="Blocked",4,IF(WBS!$L137="Deferred",5,1)))),""))</f>
        <v/>
      </c>
      <c r="P137" s="58" t="str">
        <f>IF(OR(WBS!$F137="",WBS!$T137=""),"",IF(AND(11&gt;=WBS!$F137,11&lt;=WBS!$T137),IF(WBS!$L137="Done",3,IF(WBS!$L137="Doing",2,IF(WBS!$L137="Blocked",4,IF(WBS!$L137="Deferred",5,1)))),""))</f>
        <v/>
      </c>
      <c r="Q137" s="58" t="str">
        <f>IF(OR(WBS!$F137="",WBS!$T137=""),"",IF(AND(12&gt;=WBS!$F137,12&lt;=WBS!$T137),IF(WBS!$L137="Done",3,IF(WBS!$L137="Doing",2,IF(WBS!$L137="Blocked",4,IF(WBS!$L137="Deferred",5,1)))),""))</f>
        <v/>
      </c>
      <c r="R137" s="58" t="str">
        <f>IF(OR(WBS!$F137="",WBS!$T137=""),"",IF(AND(13&gt;=WBS!$F137,13&lt;=WBS!$T137),IF(WBS!$L137="Done",3,IF(WBS!$L137="Doing",2,IF(WBS!$L137="Blocked",4,IF(WBS!$L137="Deferred",5,1)))),""))</f>
        <v/>
      </c>
      <c r="S137" s="58" t="str">
        <f>IF(OR(WBS!$F137="",WBS!$T137=""),"",IF(AND(14&gt;=WBS!$F137,14&lt;=WBS!$T137),IF(WBS!$L137="Done",3,IF(WBS!$L137="Doing",2,IF(WBS!$L137="Blocked",4,IF(WBS!$L137="Deferred",5,1)))),""))</f>
        <v/>
      </c>
      <c r="T137" s="58" t="str">
        <f>IF(OR(WBS!$F137="",WBS!$T137=""),"",IF(AND(15&gt;=WBS!$F137,15&lt;=WBS!$T137),IF(WBS!$L137="Done",3,IF(WBS!$L137="Doing",2,IF(WBS!$L137="Blocked",4,IF(WBS!$L137="Deferred",5,1)))),""))</f>
        <v/>
      </c>
      <c r="U137" s="58" t="str">
        <f>IF(OR(WBS!$F137="",WBS!$T137=""),"",IF(AND(16&gt;=WBS!$F137,16&lt;=WBS!$T137),IF(WBS!$L137="Done",3,IF(WBS!$L137="Doing",2,IF(WBS!$L137="Blocked",4,IF(WBS!$L137="Deferred",5,1)))),""))</f>
        <v/>
      </c>
      <c r="V137" s="58" t="str">
        <f>IF(OR(WBS!$F137="",WBS!$T137=""),"",IF(AND(17&gt;=WBS!$F137,17&lt;=WBS!$T137),IF(WBS!$L137="Done",3,IF(WBS!$L137="Doing",2,IF(WBS!$L137="Blocked",4,IF(WBS!$L137="Deferred",5,1)))),""))</f>
        <v/>
      </c>
      <c r="W137" s="58" t="str">
        <f>IF(OR(WBS!$F137="",WBS!$T137=""),"",IF(AND(18&gt;=WBS!$F137,18&lt;=WBS!$T137),IF(WBS!$L137="Done",3,IF(WBS!$L137="Doing",2,IF(WBS!$L137="Blocked",4,IF(WBS!$L137="Deferred",5,1)))),""))</f>
        <v/>
      </c>
      <c r="X137" s="58" t="str">
        <f>IF(OR(WBS!$F137="",WBS!$T137=""),"",IF(AND(19&gt;=WBS!$F137,19&lt;=WBS!$T137),IF(WBS!$L137="Done",3,IF(WBS!$L137="Doing",2,IF(WBS!$L137="Blocked",4,IF(WBS!$L137="Deferred",5,1)))),""))</f>
        <v/>
      </c>
      <c r="Y137" s="58">
        <f>IF(OR(WBS!$F137="",WBS!$T137=""),"",IF(AND(20&gt;=WBS!$F137,20&lt;=WBS!$T137),IF(WBS!$L137="Done",3,IF(WBS!$L137="Doing",2,IF(WBS!$L137="Blocked",4,IF(WBS!$L137="Deferred",5,1)))),""))</f>
        <v>1</v>
      </c>
      <c r="Z137" s="58" t="str">
        <f>IF(OR(WBS!$F137="",WBS!$T137=""),"",IF(AND(21&gt;=WBS!$F137,21&lt;=WBS!$T137),IF(WBS!$L137="Done",3,IF(WBS!$L137="Doing",2,IF(WBS!$L137="Blocked",4,IF(WBS!$L137="Deferred",5,1)))),""))</f>
        <v/>
      </c>
    </row>
    <row r="138" spans="1:26" x14ac:dyDescent="0.3">
      <c r="A138" s="64" t="str">
        <f>WBS!$A138</f>
        <v>8.3.2</v>
      </c>
      <c r="B138" s="65" t="str">
        <f>WBS!$C138</f>
        <v xml:space="preserve">        Rehearse the full demo twice end to end</v>
      </c>
      <c r="C138" s="66" t="str">
        <f>IF(WBS!$E138="","",WBS!$E138)</f>
        <v>DOC</v>
      </c>
      <c r="D138" s="67">
        <f>WBS!$J138</f>
        <v>2</v>
      </c>
      <c r="E138" s="68">
        <f>WBS!$M138</f>
        <v>0</v>
      </c>
      <c r="F138" s="58" t="str">
        <f>IF(OR(WBS!$F138="",WBS!$T138=""),"",IF(AND(1&gt;=WBS!$F138,1&lt;=WBS!$T138),IF(WBS!$L138="Done",3,IF(WBS!$L138="Doing",2,IF(WBS!$L138="Blocked",4,IF(WBS!$L138="Deferred",5,1)))),""))</f>
        <v/>
      </c>
      <c r="G138" s="58" t="str">
        <f>IF(OR(WBS!$F138="",WBS!$T138=""),"",IF(AND(2&gt;=WBS!$F138,2&lt;=WBS!$T138),IF(WBS!$L138="Done",3,IF(WBS!$L138="Doing",2,IF(WBS!$L138="Blocked",4,IF(WBS!$L138="Deferred",5,1)))),""))</f>
        <v/>
      </c>
      <c r="H138" s="58" t="str">
        <f>IF(OR(WBS!$F138="",WBS!$T138=""),"",IF(AND(3&gt;=WBS!$F138,3&lt;=WBS!$T138),IF(WBS!$L138="Done",3,IF(WBS!$L138="Doing",2,IF(WBS!$L138="Blocked",4,IF(WBS!$L138="Deferred",5,1)))),""))</f>
        <v/>
      </c>
      <c r="I138" s="58" t="str">
        <f>IF(OR(WBS!$F138="",WBS!$T138=""),"",IF(AND(4&gt;=WBS!$F138,4&lt;=WBS!$T138),IF(WBS!$L138="Done",3,IF(WBS!$L138="Doing",2,IF(WBS!$L138="Blocked",4,IF(WBS!$L138="Deferred",5,1)))),""))</f>
        <v/>
      </c>
      <c r="J138" s="58" t="str">
        <f>IF(OR(WBS!$F138="",WBS!$T138=""),"",IF(AND(5&gt;=WBS!$F138,5&lt;=WBS!$T138),IF(WBS!$L138="Done",3,IF(WBS!$L138="Doing",2,IF(WBS!$L138="Blocked",4,IF(WBS!$L138="Deferred",5,1)))),""))</f>
        <v/>
      </c>
      <c r="K138" s="58" t="str">
        <f>IF(OR(WBS!$F138="",WBS!$T138=""),"",IF(AND(6&gt;=WBS!$F138,6&lt;=WBS!$T138),IF(WBS!$L138="Done",3,IF(WBS!$L138="Doing",2,IF(WBS!$L138="Blocked",4,IF(WBS!$L138="Deferred",5,1)))),""))</f>
        <v/>
      </c>
      <c r="L138" s="58" t="str">
        <f>IF(OR(WBS!$F138="",WBS!$T138=""),"",IF(AND(7&gt;=WBS!$F138,7&lt;=WBS!$T138),IF(WBS!$L138="Done",3,IF(WBS!$L138="Doing",2,IF(WBS!$L138="Blocked",4,IF(WBS!$L138="Deferred",5,1)))),""))</f>
        <v/>
      </c>
      <c r="M138" s="58" t="str">
        <f>IF(OR(WBS!$F138="",WBS!$T138=""),"",IF(AND(8&gt;=WBS!$F138,8&lt;=WBS!$T138),IF(WBS!$L138="Done",3,IF(WBS!$L138="Doing",2,IF(WBS!$L138="Blocked",4,IF(WBS!$L138="Deferred",5,1)))),""))</f>
        <v/>
      </c>
      <c r="N138" s="58" t="str">
        <f>IF(OR(WBS!$F138="",WBS!$T138=""),"",IF(AND(9&gt;=WBS!$F138,9&lt;=WBS!$T138),IF(WBS!$L138="Done",3,IF(WBS!$L138="Doing",2,IF(WBS!$L138="Blocked",4,IF(WBS!$L138="Deferred",5,1)))),""))</f>
        <v/>
      </c>
      <c r="O138" s="58" t="str">
        <f>IF(OR(WBS!$F138="",WBS!$T138=""),"",IF(AND(10&gt;=WBS!$F138,10&lt;=WBS!$T138),IF(WBS!$L138="Done",3,IF(WBS!$L138="Doing",2,IF(WBS!$L138="Blocked",4,IF(WBS!$L138="Deferred",5,1)))),""))</f>
        <v/>
      </c>
      <c r="P138" s="58" t="str">
        <f>IF(OR(WBS!$F138="",WBS!$T138=""),"",IF(AND(11&gt;=WBS!$F138,11&lt;=WBS!$T138),IF(WBS!$L138="Done",3,IF(WBS!$L138="Doing",2,IF(WBS!$L138="Blocked",4,IF(WBS!$L138="Deferred",5,1)))),""))</f>
        <v/>
      </c>
      <c r="Q138" s="58" t="str">
        <f>IF(OR(WBS!$F138="",WBS!$T138=""),"",IF(AND(12&gt;=WBS!$F138,12&lt;=WBS!$T138),IF(WBS!$L138="Done",3,IF(WBS!$L138="Doing",2,IF(WBS!$L138="Blocked",4,IF(WBS!$L138="Deferred",5,1)))),""))</f>
        <v/>
      </c>
      <c r="R138" s="58" t="str">
        <f>IF(OR(WBS!$F138="",WBS!$T138=""),"",IF(AND(13&gt;=WBS!$F138,13&lt;=WBS!$T138),IF(WBS!$L138="Done",3,IF(WBS!$L138="Doing",2,IF(WBS!$L138="Blocked",4,IF(WBS!$L138="Deferred",5,1)))),""))</f>
        <v/>
      </c>
      <c r="S138" s="58" t="str">
        <f>IF(OR(WBS!$F138="",WBS!$T138=""),"",IF(AND(14&gt;=WBS!$F138,14&lt;=WBS!$T138),IF(WBS!$L138="Done",3,IF(WBS!$L138="Doing",2,IF(WBS!$L138="Blocked",4,IF(WBS!$L138="Deferred",5,1)))),""))</f>
        <v/>
      </c>
      <c r="T138" s="58" t="str">
        <f>IF(OR(WBS!$F138="",WBS!$T138=""),"",IF(AND(15&gt;=WBS!$F138,15&lt;=WBS!$T138),IF(WBS!$L138="Done",3,IF(WBS!$L138="Doing",2,IF(WBS!$L138="Blocked",4,IF(WBS!$L138="Deferred",5,1)))),""))</f>
        <v/>
      </c>
      <c r="U138" s="58" t="str">
        <f>IF(OR(WBS!$F138="",WBS!$T138=""),"",IF(AND(16&gt;=WBS!$F138,16&lt;=WBS!$T138),IF(WBS!$L138="Done",3,IF(WBS!$L138="Doing",2,IF(WBS!$L138="Blocked",4,IF(WBS!$L138="Deferred",5,1)))),""))</f>
        <v/>
      </c>
      <c r="V138" s="58" t="str">
        <f>IF(OR(WBS!$F138="",WBS!$T138=""),"",IF(AND(17&gt;=WBS!$F138,17&lt;=WBS!$T138),IF(WBS!$L138="Done",3,IF(WBS!$L138="Doing",2,IF(WBS!$L138="Blocked",4,IF(WBS!$L138="Deferred",5,1)))),""))</f>
        <v/>
      </c>
      <c r="W138" s="58" t="str">
        <f>IF(OR(WBS!$F138="",WBS!$T138=""),"",IF(AND(18&gt;=WBS!$F138,18&lt;=WBS!$T138),IF(WBS!$L138="Done",3,IF(WBS!$L138="Doing",2,IF(WBS!$L138="Blocked",4,IF(WBS!$L138="Deferred",5,1)))),""))</f>
        <v/>
      </c>
      <c r="X138" s="58" t="str">
        <f>IF(OR(WBS!$F138="",WBS!$T138=""),"",IF(AND(19&gt;=WBS!$F138,19&lt;=WBS!$T138),IF(WBS!$L138="Done",3,IF(WBS!$L138="Doing",2,IF(WBS!$L138="Blocked",4,IF(WBS!$L138="Deferred",5,1)))),""))</f>
        <v/>
      </c>
      <c r="Y138" s="58">
        <f>IF(OR(WBS!$F138="",WBS!$T138=""),"",IF(AND(20&gt;=WBS!$F138,20&lt;=WBS!$T138),IF(WBS!$L138="Done",3,IF(WBS!$L138="Doing",2,IF(WBS!$L138="Blocked",4,IF(WBS!$L138="Deferred",5,1)))),""))</f>
        <v>1</v>
      </c>
      <c r="Z138" s="58" t="str">
        <f>IF(OR(WBS!$F138="",WBS!$T138=""),"",IF(AND(21&gt;=WBS!$F138,21&lt;=WBS!$T138),IF(WBS!$L138="Done",3,IF(WBS!$L138="Doing",2,IF(WBS!$L138="Blocked",4,IF(WBS!$L138="Deferred",5,1)))),""))</f>
        <v/>
      </c>
    </row>
    <row r="139" spans="1:26" x14ac:dyDescent="0.3">
      <c r="A139" s="64" t="str">
        <f>WBS!$A139</f>
        <v>8.3.3</v>
      </c>
      <c r="B139" s="65" t="str">
        <f>WBS!$C139</f>
        <v xml:space="preserve">        Record fallback demo video</v>
      </c>
      <c r="C139" s="66" t="str">
        <f>IF(WBS!$E139="","",WBS!$E139)</f>
        <v>DOC</v>
      </c>
      <c r="D139" s="67">
        <f>WBS!$J139</f>
        <v>1.5</v>
      </c>
      <c r="E139" s="68">
        <f>WBS!$M139</f>
        <v>0</v>
      </c>
      <c r="F139" s="58" t="str">
        <f>IF(OR(WBS!$F139="",WBS!$T139=""),"",IF(AND(1&gt;=WBS!$F139,1&lt;=WBS!$T139),IF(WBS!$L139="Done",3,IF(WBS!$L139="Doing",2,IF(WBS!$L139="Blocked",4,IF(WBS!$L139="Deferred",5,1)))),""))</f>
        <v/>
      </c>
      <c r="G139" s="58" t="str">
        <f>IF(OR(WBS!$F139="",WBS!$T139=""),"",IF(AND(2&gt;=WBS!$F139,2&lt;=WBS!$T139),IF(WBS!$L139="Done",3,IF(WBS!$L139="Doing",2,IF(WBS!$L139="Blocked",4,IF(WBS!$L139="Deferred",5,1)))),""))</f>
        <v/>
      </c>
      <c r="H139" s="58" t="str">
        <f>IF(OR(WBS!$F139="",WBS!$T139=""),"",IF(AND(3&gt;=WBS!$F139,3&lt;=WBS!$T139),IF(WBS!$L139="Done",3,IF(WBS!$L139="Doing",2,IF(WBS!$L139="Blocked",4,IF(WBS!$L139="Deferred",5,1)))),""))</f>
        <v/>
      </c>
      <c r="I139" s="58" t="str">
        <f>IF(OR(WBS!$F139="",WBS!$T139=""),"",IF(AND(4&gt;=WBS!$F139,4&lt;=WBS!$T139),IF(WBS!$L139="Done",3,IF(WBS!$L139="Doing",2,IF(WBS!$L139="Blocked",4,IF(WBS!$L139="Deferred",5,1)))),""))</f>
        <v/>
      </c>
      <c r="J139" s="58" t="str">
        <f>IF(OR(WBS!$F139="",WBS!$T139=""),"",IF(AND(5&gt;=WBS!$F139,5&lt;=WBS!$T139),IF(WBS!$L139="Done",3,IF(WBS!$L139="Doing",2,IF(WBS!$L139="Blocked",4,IF(WBS!$L139="Deferred",5,1)))),""))</f>
        <v/>
      </c>
      <c r="K139" s="58" t="str">
        <f>IF(OR(WBS!$F139="",WBS!$T139=""),"",IF(AND(6&gt;=WBS!$F139,6&lt;=WBS!$T139),IF(WBS!$L139="Done",3,IF(WBS!$L139="Doing",2,IF(WBS!$L139="Blocked",4,IF(WBS!$L139="Deferred",5,1)))),""))</f>
        <v/>
      </c>
      <c r="L139" s="58" t="str">
        <f>IF(OR(WBS!$F139="",WBS!$T139=""),"",IF(AND(7&gt;=WBS!$F139,7&lt;=WBS!$T139),IF(WBS!$L139="Done",3,IF(WBS!$L139="Doing",2,IF(WBS!$L139="Blocked",4,IF(WBS!$L139="Deferred",5,1)))),""))</f>
        <v/>
      </c>
      <c r="M139" s="58" t="str">
        <f>IF(OR(WBS!$F139="",WBS!$T139=""),"",IF(AND(8&gt;=WBS!$F139,8&lt;=WBS!$T139),IF(WBS!$L139="Done",3,IF(WBS!$L139="Doing",2,IF(WBS!$L139="Blocked",4,IF(WBS!$L139="Deferred",5,1)))),""))</f>
        <v/>
      </c>
      <c r="N139" s="58" t="str">
        <f>IF(OR(WBS!$F139="",WBS!$T139=""),"",IF(AND(9&gt;=WBS!$F139,9&lt;=WBS!$T139),IF(WBS!$L139="Done",3,IF(WBS!$L139="Doing",2,IF(WBS!$L139="Blocked",4,IF(WBS!$L139="Deferred",5,1)))),""))</f>
        <v/>
      </c>
      <c r="O139" s="58" t="str">
        <f>IF(OR(WBS!$F139="",WBS!$T139=""),"",IF(AND(10&gt;=WBS!$F139,10&lt;=WBS!$T139),IF(WBS!$L139="Done",3,IF(WBS!$L139="Doing",2,IF(WBS!$L139="Blocked",4,IF(WBS!$L139="Deferred",5,1)))),""))</f>
        <v/>
      </c>
      <c r="P139" s="58" t="str">
        <f>IF(OR(WBS!$F139="",WBS!$T139=""),"",IF(AND(11&gt;=WBS!$F139,11&lt;=WBS!$T139),IF(WBS!$L139="Done",3,IF(WBS!$L139="Doing",2,IF(WBS!$L139="Blocked",4,IF(WBS!$L139="Deferred",5,1)))),""))</f>
        <v/>
      </c>
      <c r="Q139" s="58" t="str">
        <f>IF(OR(WBS!$F139="",WBS!$T139=""),"",IF(AND(12&gt;=WBS!$F139,12&lt;=WBS!$T139),IF(WBS!$L139="Done",3,IF(WBS!$L139="Doing",2,IF(WBS!$L139="Blocked",4,IF(WBS!$L139="Deferred",5,1)))),""))</f>
        <v/>
      </c>
      <c r="R139" s="58" t="str">
        <f>IF(OR(WBS!$F139="",WBS!$T139=""),"",IF(AND(13&gt;=WBS!$F139,13&lt;=WBS!$T139),IF(WBS!$L139="Done",3,IF(WBS!$L139="Doing",2,IF(WBS!$L139="Blocked",4,IF(WBS!$L139="Deferred",5,1)))),""))</f>
        <v/>
      </c>
      <c r="S139" s="58" t="str">
        <f>IF(OR(WBS!$F139="",WBS!$T139=""),"",IF(AND(14&gt;=WBS!$F139,14&lt;=WBS!$T139),IF(WBS!$L139="Done",3,IF(WBS!$L139="Doing",2,IF(WBS!$L139="Blocked",4,IF(WBS!$L139="Deferred",5,1)))),""))</f>
        <v/>
      </c>
      <c r="T139" s="58" t="str">
        <f>IF(OR(WBS!$F139="",WBS!$T139=""),"",IF(AND(15&gt;=WBS!$F139,15&lt;=WBS!$T139),IF(WBS!$L139="Done",3,IF(WBS!$L139="Doing",2,IF(WBS!$L139="Blocked",4,IF(WBS!$L139="Deferred",5,1)))),""))</f>
        <v/>
      </c>
      <c r="U139" s="58" t="str">
        <f>IF(OR(WBS!$F139="",WBS!$T139=""),"",IF(AND(16&gt;=WBS!$F139,16&lt;=WBS!$T139),IF(WBS!$L139="Done",3,IF(WBS!$L139="Doing",2,IF(WBS!$L139="Blocked",4,IF(WBS!$L139="Deferred",5,1)))),""))</f>
        <v/>
      </c>
      <c r="V139" s="58" t="str">
        <f>IF(OR(WBS!$F139="",WBS!$T139=""),"",IF(AND(17&gt;=WBS!$F139,17&lt;=WBS!$T139),IF(WBS!$L139="Done",3,IF(WBS!$L139="Doing",2,IF(WBS!$L139="Blocked",4,IF(WBS!$L139="Deferred",5,1)))),""))</f>
        <v/>
      </c>
      <c r="W139" s="58" t="str">
        <f>IF(OR(WBS!$F139="",WBS!$T139=""),"",IF(AND(18&gt;=WBS!$F139,18&lt;=WBS!$T139),IF(WBS!$L139="Done",3,IF(WBS!$L139="Doing",2,IF(WBS!$L139="Blocked",4,IF(WBS!$L139="Deferred",5,1)))),""))</f>
        <v/>
      </c>
      <c r="X139" s="58" t="str">
        <f>IF(OR(WBS!$F139="",WBS!$T139=""),"",IF(AND(19&gt;=WBS!$F139,19&lt;=WBS!$T139),IF(WBS!$L139="Done",3,IF(WBS!$L139="Doing",2,IF(WBS!$L139="Blocked",4,IF(WBS!$L139="Deferred",5,1)))),""))</f>
        <v/>
      </c>
      <c r="Y139" s="58">
        <f>IF(OR(WBS!$F139="",WBS!$T139=""),"",IF(AND(20&gt;=WBS!$F139,20&lt;=WBS!$T139),IF(WBS!$L139="Done",3,IF(WBS!$L139="Doing",2,IF(WBS!$L139="Blocked",4,IF(WBS!$L139="Deferred",5,1)))),""))</f>
        <v>1</v>
      </c>
      <c r="Z139" s="58" t="str">
        <f>IF(OR(WBS!$F139="",WBS!$T139=""),"",IF(AND(21&gt;=WBS!$F139,21&lt;=WBS!$T139),IF(WBS!$L139="Done",3,IF(WBS!$L139="Doing",2,IF(WBS!$L139="Blocked",4,IF(WBS!$L139="Deferred",5,1)))),""))</f>
        <v/>
      </c>
    </row>
    <row r="140" spans="1:26" x14ac:dyDescent="0.3">
      <c r="A140" s="64" t="str">
        <f>WBS!$A140</f>
        <v>8.3.4</v>
      </c>
      <c r="B140" s="65" t="str">
        <f>WBS!$C140</f>
        <v xml:space="preserve">        Verify clean checkout to running system from README</v>
      </c>
      <c r="C140" s="66" t="str">
        <f>IF(WBS!$E140="","",WBS!$E140)</f>
        <v>OPS</v>
      </c>
      <c r="D140" s="67">
        <f>WBS!$J140</f>
        <v>1.5</v>
      </c>
      <c r="E140" s="68">
        <f>WBS!$M140</f>
        <v>0</v>
      </c>
      <c r="F140" s="58" t="str">
        <f>IF(OR(WBS!$F140="",WBS!$T140=""),"",IF(AND(1&gt;=WBS!$F140,1&lt;=WBS!$T140),IF(WBS!$L140="Done",3,IF(WBS!$L140="Doing",2,IF(WBS!$L140="Blocked",4,IF(WBS!$L140="Deferred",5,1)))),""))</f>
        <v/>
      </c>
      <c r="G140" s="58" t="str">
        <f>IF(OR(WBS!$F140="",WBS!$T140=""),"",IF(AND(2&gt;=WBS!$F140,2&lt;=WBS!$T140),IF(WBS!$L140="Done",3,IF(WBS!$L140="Doing",2,IF(WBS!$L140="Blocked",4,IF(WBS!$L140="Deferred",5,1)))),""))</f>
        <v/>
      </c>
      <c r="H140" s="58" t="str">
        <f>IF(OR(WBS!$F140="",WBS!$T140=""),"",IF(AND(3&gt;=WBS!$F140,3&lt;=WBS!$T140),IF(WBS!$L140="Done",3,IF(WBS!$L140="Doing",2,IF(WBS!$L140="Blocked",4,IF(WBS!$L140="Deferred",5,1)))),""))</f>
        <v/>
      </c>
      <c r="I140" s="58" t="str">
        <f>IF(OR(WBS!$F140="",WBS!$T140=""),"",IF(AND(4&gt;=WBS!$F140,4&lt;=WBS!$T140),IF(WBS!$L140="Done",3,IF(WBS!$L140="Doing",2,IF(WBS!$L140="Blocked",4,IF(WBS!$L140="Deferred",5,1)))),""))</f>
        <v/>
      </c>
      <c r="J140" s="58" t="str">
        <f>IF(OR(WBS!$F140="",WBS!$T140=""),"",IF(AND(5&gt;=WBS!$F140,5&lt;=WBS!$T140),IF(WBS!$L140="Done",3,IF(WBS!$L140="Doing",2,IF(WBS!$L140="Blocked",4,IF(WBS!$L140="Deferred",5,1)))),""))</f>
        <v/>
      </c>
      <c r="K140" s="58" t="str">
        <f>IF(OR(WBS!$F140="",WBS!$T140=""),"",IF(AND(6&gt;=WBS!$F140,6&lt;=WBS!$T140),IF(WBS!$L140="Done",3,IF(WBS!$L140="Doing",2,IF(WBS!$L140="Blocked",4,IF(WBS!$L140="Deferred",5,1)))),""))</f>
        <v/>
      </c>
      <c r="L140" s="58" t="str">
        <f>IF(OR(WBS!$F140="",WBS!$T140=""),"",IF(AND(7&gt;=WBS!$F140,7&lt;=WBS!$T140),IF(WBS!$L140="Done",3,IF(WBS!$L140="Doing",2,IF(WBS!$L140="Blocked",4,IF(WBS!$L140="Deferred",5,1)))),""))</f>
        <v/>
      </c>
      <c r="M140" s="58" t="str">
        <f>IF(OR(WBS!$F140="",WBS!$T140=""),"",IF(AND(8&gt;=WBS!$F140,8&lt;=WBS!$T140),IF(WBS!$L140="Done",3,IF(WBS!$L140="Doing",2,IF(WBS!$L140="Blocked",4,IF(WBS!$L140="Deferred",5,1)))),""))</f>
        <v/>
      </c>
      <c r="N140" s="58" t="str">
        <f>IF(OR(WBS!$F140="",WBS!$T140=""),"",IF(AND(9&gt;=WBS!$F140,9&lt;=WBS!$T140),IF(WBS!$L140="Done",3,IF(WBS!$L140="Doing",2,IF(WBS!$L140="Blocked",4,IF(WBS!$L140="Deferred",5,1)))),""))</f>
        <v/>
      </c>
      <c r="O140" s="58" t="str">
        <f>IF(OR(WBS!$F140="",WBS!$T140=""),"",IF(AND(10&gt;=WBS!$F140,10&lt;=WBS!$T140),IF(WBS!$L140="Done",3,IF(WBS!$L140="Doing",2,IF(WBS!$L140="Blocked",4,IF(WBS!$L140="Deferred",5,1)))),""))</f>
        <v/>
      </c>
      <c r="P140" s="58" t="str">
        <f>IF(OR(WBS!$F140="",WBS!$T140=""),"",IF(AND(11&gt;=WBS!$F140,11&lt;=WBS!$T140),IF(WBS!$L140="Done",3,IF(WBS!$L140="Doing",2,IF(WBS!$L140="Blocked",4,IF(WBS!$L140="Deferred",5,1)))),""))</f>
        <v/>
      </c>
      <c r="Q140" s="58" t="str">
        <f>IF(OR(WBS!$F140="",WBS!$T140=""),"",IF(AND(12&gt;=WBS!$F140,12&lt;=WBS!$T140),IF(WBS!$L140="Done",3,IF(WBS!$L140="Doing",2,IF(WBS!$L140="Blocked",4,IF(WBS!$L140="Deferred",5,1)))),""))</f>
        <v/>
      </c>
      <c r="R140" s="58" t="str">
        <f>IF(OR(WBS!$F140="",WBS!$T140=""),"",IF(AND(13&gt;=WBS!$F140,13&lt;=WBS!$T140),IF(WBS!$L140="Done",3,IF(WBS!$L140="Doing",2,IF(WBS!$L140="Blocked",4,IF(WBS!$L140="Deferred",5,1)))),""))</f>
        <v/>
      </c>
      <c r="S140" s="58" t="str">
        <f>IF(OR(WBS!$F140="",WBS!$T140=""),"",IF(AND(14&gt;=WBS!$F140,14&lt;=WBS!$T140),IF(WBS!$L140="Done",3,IF(WBS!$L140="Doing",2,IF(WBS!$L140="Blocked",4,IF(WBS!$L140="Deferred",5,1)))),""))</f>
        <v/>
      </c>
      <c r="T140" s="58" t="str">
        <f>IF(OR(WBS!$F140="",WBS!$T140=""),"",IF(AND(15&gt;=WBS!$F140,15&lt;=WBS!$T140),IF(WBS!$L140="Done",3,IF(WBS!$L140="Doing",2,IF(WBS!$L140="Blocked",4,IF(WBS!$L140="Deferred",5,1)))),""))</f>
        <v/>
      </c>
      <c r="U140" s="58" t="str">
        <f>IF(OR(WBS!$F140="",WBS!$T140=""),"",IF(AND(16&gt;=WBS!$F140,16&lt;=WBS!$T140),IF(WBS!$L140="Done",3,IF(WBS!$L140="Doing",2,IF(WBS!$L140="Blocked",4,IF(WBS!$L140="Deferred",5,1)))),""))</f>
        <v/>
      </c>
      <c r="V140" s="58" t="str">
        <f>IF(OR(WBS!$F140="",WBS!$T140=""),"",IF(AND(17&gt;=WBS!$F140,17&lt;=WBS!$T140),IF(WBS!$L140="Done",3,IF(WBS!$L140="Doing",2,IF(WBS!$L140="Blocked",4,IF(WBS!$L140="Deferred",5,1)))),""))</f>
        <v/>
      </c>
      <c r="W140" s="58" t="str">
        <f>IF(OR(WBS!$F140="",WBS!$T140=""),"",IF(AND(18&gt;=WBS!$F140,18&lt;=WBS!$T140),IF(WBS!$L140="Done",3,IF(WBS!$L140="Doing",2,IF(WBS!$L140="Blocked",4,IF(WBS!$L140="Deferred",5,1)))),""))</f>
        <v/>
      </c>
      <c r="X140" s="58" t="str">
        <f>IF(OR(WBS!$F140="",WBS!$T140=""),"",IF(AND(19&gt;=WBS!$F140,19&lt;=WBS!$T140),IF(WBS!$L140="Done",3,IF(WBS!$L140="Doing",2,IF(WBS!$L140="Blocked",4,IF(WBS!$L140="Deferred",5,1)))),""))</f>
        <v/>
      </c>
      <c r="Y140" s="58">
        <f>IF(OR(WBS!$F140="",WBS!$T140=""),"",IF(AND(20&gt;=WBS!$F140,20&lt;=WBS!$T140),IF(WBS!$L140="Done",3,IF(WBS!$L140="Doing",2,IF(WBS!$L140="Blocked",4,IF(WBS!$L140="Deferred",5,1)))),""))</f>
        <v>1</v>
      </c>
      <c r="Z140" s="58" t="str">
        <f>IF(OR(WBS!$F140="",WBS!$T140=""),"",IF(AND(21&gt;=WBS!$F140,21&lt;=WBS!$T140),IF(WBS!$L140="Done",3,IF(WBS!$L140="Doing",2,IF(WBS!$L140="Blocked",4,IF(WBS!$L140="Deferred",5,1)))),""))</f>
        <v/>
      </c>
    </row>
    <row r="141" spans="1:26" x14ac:dyDescent="0.3">
      <c r="A141" s="59" t="str">
        <f>WBS!$A141</f>
        <v>8.4</v>
      </c>
      <c r="B141" s="60" t="str">
        <f>WBS!$C141</f>
        <v xml:space="preserve">    Closeout</v>
      </c>
      <c r="C141" s="61" t="str">
        <f>IF(WBS!$E141="","",WBS!$E141)</f>
        <v/>
      </c>
      <c r="D141" s="62">
        <f>WBS!$J141</f>
        <v>6.5</v>
      </c>
      <c r="E141" s="63">
        <f>WBS!$M141</f>
        <v>0</v>
      </c>
      <c r="F141" s="58" t="str">
        <f>IF(OR(WBS!$F141="",WBS!$T141=""),"",IF(AND(1&gt;=WBS!$F141,1&lt;=WBS!$T141),IF(WBS!$L141="Done",3,IF(WBS!$L141="Doing",2,IF(WBS!$L141="Blocked",4,IF(WBS!$L141="Deferred",5,1)))),""))</f>
        <v/>
      </c>
      <c r="G141" s="58" t="str">
        <f>IF(OR(WBS!$F141="",WBS!$T141=""),"",IF(AND(2&gt;=WBS!$F141,2&lt;=WBS!$T141),IF(WBS!$L141="Done",3,IF(WBS!$L141="Doing",2,IF(WBS!$L141="Blocked",4,IF(WBS!$L141="Deferred",5,1)))),""))</f>
        <v/>
      </c>
      <c r="H141" s="58" t="str">
        <f>IF(OR(WBS!$F141="",WBS!$T141=""),"",IF(AND(3&gt;=WBS!$F141,3&lt;=WBS!$T141),IF(WBS!$L141="Done",3,IF(WBS!$L141="Doing",2,IF(WBS!$L141="Blocked",4,IF(WBS!$L141="Deferred",5,1)))),""))</f>
        <v/>
      </c>
      <c r="I141" s="58" t="str">
        <f>IF(OR(WBS!$F141="",WBS!$T141=""),"",IF(AND(4&gt;=WBS!$F141,4&lt;=WBS!$T141),IF(WBS!$L141="Done",3,IF(WBS!$L141="Doing",2,IF(WBS!$L141="Blocked",4,IF(WBS!$L141="Deferred",5,1)))),""))</f>
        <v/>
      </c>
      <c r="J141" s="58" t="str">
        <f>IF(OR(WBS!$F141="",WBS!$T141=""),"",IF(AND(5&gt;=WBS!$F141,5&lt;=WBS!$T141),IF(WBS!$L141="Done",3,IF(WBS!$L141="Doing",2,IF(WBS!$L141="Blocked",4,IF(WBS!$L141="Deferred",5,1)))),""))</f>
        <v/>
      </c>
      <c r="K141" s="58" t="str">
        <f>IF(OR(WBS!$F141="",WBS!$T141=""),"",IF(AND(6&gt;=WBS!$F141,6&lt;=WBS!$T141),IF(WBS!$L141="Done",3,IF(WBS!$L141="Doing",2,IF(WBS!$L141="Blocked",4,IF(WBS!$L141="Deferred",5,1)))),""))</f>
        <v/>
      </c>
      <c r="L141" s="58" t="str">
        <f>IF(OR(WBS!$F141="",WBS!$T141=""),"",IF(AND(7&gt;=WBS!$F141,7&lt;=WBS!$T141),IF(WBS!$L141="Done",3,IF(WBS!$L141="Doing",2,IF(WBS!$L141="Blocked",4,IF(WBS!$L141="Deferred",5,1)))),""))</f>
        <v/>
      </c>
      <c r="M141" s="58" t="str">
        <f>IF(OR(WBS!$F141="",WBS!$T141=""),"",IF(AND(8&gt;=WBS!$F141,8&lt;=WBS!$T141),IF(WBS!$L141="Done",3,IF(WBS!$L141="Doing",2,IF(WBS!$L141="Blocked",4,IF(WBS!$L141="Deferred",5,1)))),""))</f>
        <v/>
      </c>
      <c r="N141" s="58" t="str">
        <f>IF(OR(WBS!$F141="",WBS!$T141=""),"",IF(AND(9&gt;=WBS!$F141,9&lt;=WBS!$T141),IF(WBS!$L141="Done",3,IF(WBS!$L141="Doing",2,IF(WBS!$L141="Blocked",4,IF(WBS!$L141="Deferred",5,1)))),""))</f>
        <v/>
      </c>
      <c r="O141" s="58" t="str">
        <f>IF(OR(WBS!$F141="",WBS!$T141=""),"",IF(AND(10&gt;=WBS!$F141,10&lt;=WBS!$T141),IF(WBS!$L141="Done",3,IF(WBS!$L141="Doing",2,IF(WBS!$L141="Blocked",4,IF(WBS!$L141="Deferred",5,1)))),""))</f>
        <v/>
      </c>
      <c r="P141" s="58" t="str">
        <f>IF(OR(WBS!$F141="",WBS!$T141=""),"",IF(AND(11&gt;=WBS!$F141,11&lt;=WBS!$T141),IF(WBS!$L141="Done",3,IF(WBS!$L141="Doing",2,IF(WBS!$L141="Blocked",4,IF(WBS!$L141="Deferred",5,1)))),""))</f>
        <v/>
      </c>
      <c r="Q141" s="58" t="str">
        <f>IF(OR(WBS!$F141="",WBS!$T141=""),"",IF(AND(12&gt;=WBS!$F141,12&lt;=WBS!$T141),IF(WBS!$L141="Done",3,IF(WBS!$L141="Doing",2,IF(WBS!$L141="Blocked",4,IF(WBS!$L141="Deferred",5,1)))),""))</f>
        <v/>
      </c>
      <c r="R141" s="58" t="str">
        <f>IF(OR(WBS!$F141="",WBS!$T141=""),"",IF(AND(13&gt;=WBS!$F141,13&lt;=WBS!$T141),IF(WBS!$L141="Done",3,IF(WBS!$L141="Doing",2,IF(WBS!$L141="Blocked",4,IF(WBS!$L141="Deferred",5,1)))),""))</f>
        <v/>
      </c>
      <c r="S141" s="58" t="str">
        <f>IF(OR(WBS!$F141="",WBS!$T141=""),"",IF(AND(14&gt;=WBS!$F141,14&lt;=WBS!$T141),IF(WBS!$L141="Done",3,IF(WBS!$L141="Doing",2,IF(WBS!$L141="Blocked",4,IF(WBS!$L141="Deferred",5,1)))),""))</f>
        <v/>
      </c>
      <c r="T141" s="58" t="str">
        <f>IF(OR(WBS!$F141="",WBS!$T141=""),"",IF(AND(15&gt;=WBS!$F141,15&lt;=WBS!$T141),IF(WBS!$L141="Done",3,IF(WBS!$L141="Doing",2,IF(WBS!$L141="Blocked",4,IF(WBS!$L141="Deferred",5,1)))),""))</f>
        <v/>
      </c>
      <c r="U141" s="58" t="str">
        <f>IF(OR(WBS!$F141="",WBS!$T141=""),"",IF(AND(16&gt;=WBS!$F141,16&lt;=WBS!$T141),IF(WBS!$L141="Done",3,IF(WBS!$L141="Doing",2,IF(WBS!$L141="Blocked",4,IF(WBS!$L141="Deferred",5,1)))),""))</f>
        <v/>
      </c>
      <c r="V141" s="58" t="str">
        <f>IF(OR(WBS!$F141="",WBS!$T141=""),"",IF(AND(17&gt;=WBS!$F141,17&lt;=WBS!$T141),IF(WBS!$L141="Done",3,IF(WBS!$L141="Doing",2,IF(WBS!$L141="Blocked",4,IF(WBS!$L141="Deferred",5,1)))),""))</f>
        <v/>
      </c>
      <c r="W141" s="58" t="str">
        <f>IF(OR(WBS!$F141="",WBS!$T141=""),"",IF(AND(18&gt;=WBS!$F141,18&lt;=WBS!$T141),IF(WBS!$L141="Done",3,IF(WBS!$L141="Doing",2,IF(WBS!$L141="Blocked",4,IF(WBS!$L141="Deferred",5,1)))),""))</f>
        <v/>
      </c>
      <c r="X141" s="58" t="str">
        <f>IF(OR(WBS!$F141="",WBS!$T141=""),"",IF(AND(19&gt;=WBS!$F141,19&lt;=WBS!$T141),IF(WBS!$L141="Done",3,IF(WBS!$L141="Doing",2,IF(WBS!$L141="Blocked",4,IF(WBS!$L141="Deferred",5,1)))),""))</f>
        <v/>
      </c>
      <c r="Y141" s="58" t="str">
        <f>IF(OR(WBS!$F141="",WBS!$T141=""),"",IF(AND(20&gt;=WBS!$F141,20&lt;=WBS!$T141),IF(WBS!$L141="Done",3,IF(WBS!$L141="Doing",2,IF(WBS!$L141="Blocked",4,IF(WBS!$L141="Deferred",5,1)))),""))</f>
        <v/>
      </c>
      <c r="Z141" s="58">
        <f>IF(OR(WBS!$F141="",WBS!$T141=""),"",IF(AND(21&gt;=WBS!$F141,21&lt;=WBS!$T141),IF(WBS!$L141="Done",3,IF(WBS!$L141="Doing",2,IF(WBS!$L141="Blocked",4,IF(WBS!$L141="Deferred",5,1)))),""))</f>
        <v>1</v>
      </c>
    </row>
    <row r="142" spans="1:26" x14ac:dyDescent="0.3">
      <c r="A142" s="64" t="str">
        <f>WBS!$A142</f>
        <v>8.4.1</v>
      </c>
      <c r="B142" s="65" t="str">
        <f>WBS!$C142</f>
        <v xml:space="preserve">        Buffer for slipped work</v>
      </c>
      <c r="C142" s="66" t="str">
        <f>IF(WBS!$E142="","",WBS!$E142)</f>
        <v>DOC</v>
      </c>
      <c r="D142" s="67">
        <f>WBS!$J142</f>
        <v>3</v>
      </c>
      <c r="E142" s="68">
        <f>WBS!$M142</f>
        <v>0</v>
      </c>
      <c r="F142" s="58" t="str">
        <f>IF(OR(WBS!$F142="",WBS!$T142=""),"",IF(AND(1&gt;=WBS!$F142,1&lt;=WBS!$T142),IF(WBS!$L142="Done",3,IF(WBS!$L142="Doing",2,IF(WBS!$L142="Blocked",4,IF(WBS!$L142="Deferred",5,1)))),""))</f>
        <v/>
      </c>
      <c r="G142" s="58" t="str">
        <f>IF(OR(WBS!$F142="",WBS!$T142=""),"",IF(AND(2&gt;=WBS!$F142,2&lt;=WBS!$T142),IF(WBS!$L142="Done",3,IF(WBS!$L142="Doing",2,IF(WBS!$L142="Blocked",4,IF(WBS!$L142="Deferred",5,1)))),""))</f>
        <v/>
      </c>
      <c r="H142" s="58" t="str">
        <f>IF(OR(WBS!$F142="",WBS!$T142=""),"",IF(AND(3&gt;=WBS!$F142,3&lt;=WBS!$T142),IF(WBS!$L142="Done",3,IF(WBS!$L142="Doing",2,IF(WBS!$L142="Blocked",4,IF(WBS!$L142="Deferred",5,1)))),""))</f>
        <v/>
      </c>
      <c r="I142" s="58" t="str">
        <f>IF(OR(WBS!$F142="",WBS!$T142=""),"",IF(AND(4&gt;=WBS!$F142,4&lt;=WBS!$T142),IF(WBS!$L142="Done",3,IF(WBS!$L142="Doing",2,IF(WBS!$L142="Blocked",4,IF(WBS!$L142="Deferred",5,1)))),""))</f>
        <v/>
      </c>
      <c r="J142" s="58" t="str">
        <f>IF(OR(WBS!$F142="",WBS!$T142=""),"",IF(AND(5&gt;=WBS!$F142,5&lt;=WBS!$T142),IF(WBS!$L142="Done",3,IF(WBS!$L142="Doing",2,IF(WBS!$L142="Blocked",4,IF(WBS!$L142="Deferred",5,1)))),""))</f>
        <v/>
      </c>
      <c r="K142" s="58" t="str">
        <f>IF(OR(WBS!$F142="",WBS!$T142=""),"",IF(AND(6&gt;=WBS!$F142,6&lt;=WBS!$T142),IF(WBS!$L142="Done",3,IF(WBS!$L142="Doing",2,IF(WBS!$L142="Blocked",4,IF(WBS!$L142="Deferred",5,1)))),""))</f>
        <v/>
      </c>
      <c r="L142" s="58" t="str">
        <f>IF(OR(WBS!$F142="",WBS!$T142=""),"",IF(AND(7&gt;=WBS!$F142,7&lt;=WBS!$T142),IF(WBS!$L142="Done",3,IF(WBS!$L142="Doing",2,IF(WBS!$L142="Blocked",4,IF(WBS!$L142="Deferred",5,1)))),""))</f>
        <v/>
      </c>
      <c r="M142" s="58" t="str">
        <f>IF(OR(WBS!$F142="",WBS!$T142=""),"",IF(AND(8&gt;=WBS!$F142,8&lt;=WBS!$T142),IF(WBS!$L142="Done",3,IF(WBS!$L142="Doing",2,IF(WBS!$L142="Blocked",4,IF(WBS!$L142="Deferred",5,1)))),""))</f>
        <v/>
      </c>
      <c r="N142" s="58" t="str">
        <f>IF(OR(WBS!$F142="",WBS!$T142=""),"",IF(AND(9&gt;=WBS!$F142,9&lt;=WBS!$T142),IF(WBS!$L142="Done",3,IF(WBS!$L142="Doing",2,IF(WBS!$L142="Blocked",4,IF(WBS!$L142="Deferred",5,1)))),""))</f>
        <v/>
      </c>
      <c r="O142" s="58" t="str">
        <f>IF(OR(WBS!$F142="",WBS!$T142=""),"",IF(AND(10&gt;=WBS!$F142,10&lt;=WBS!$T142),IF(WBS!$L142="Done",3,IF(WBS!$L142="Doing",2,IF(WBS!$L142="Blocked",4,IF(WBS!$L142="Deferred",5,1)))),""))</f>
        <v/>
      </c>
      <c r="P142" s="58" t="str">
        <f>IF(OR(WBS!$F142="",WBS!$T142=""),"",IF(AND(11&gt;=WBS!$F142,11&lt;=WBS!$T142),IF(WBS!$L142="Done",3,IF(WBS!$L142="Doing",2,IF(WBS!$L142="Blocked",4,IF(WBS!$L142="Deferred",5,1)))),""))</f>
        <v/>
      </c>
      <c r="Q142" s="58" t="str">
        <f>IF(OR(WBS!$F142="",WBS!$T142=""),"",IF(AND(12&gt;=WBS!$F142,12&lt;=WBS!$T142),IF(WBS!$L142="Done",3,IF(WBS!$L142="Doing",2,IF(WBS!$L142="Blocked",4,IF(WBS!$L142="Deferred",5,1)))),""))</f>
        <v/>
      </c>
      <c r="R142" s="58" t="str">
        <f>IF(OR(WBS!$F142="",WBS!$T142=""),"",IF(AND(13&gt;=WBS!$F142,13&lt;=WBS!$T142),IF(WBS!$L142="Done",3,IF(WBS!$L142="Doing",2,IF(WBS!$L142="Blocked",4,IF(WBS!$L142="Deferred",5,1)))),""))</f>
        <v/>
      </c>
      <c r="S142" s="58" t="str">
        <f>IF(OR(WBS!$F142="",WBS!$T142=""),"",IF(AND(14&gt;=WBS!$F142,14&lt;=WBS!$T142),IF(WBS!$L142="Done",3,IF(WBS!$L142="Doing",2,IF(WBS!$L142="Blocked",4,IF(WBS!$L142="Deferred",5,1)))),""))</f>
        <v/>
      </c>
      <c r="T142" s="58" t="str">
        <f>IF(OR(WBS!$F142="",WBS!$T142=""),"",IF(AND(15&gt;=WBS!$F142,15&lt;=WBS!$T142),IF(WBS!$L142="Done",3,IF(WBS!$L142="Doing",2,IF(WBS!$L142="Blocked",4,IF(WBS!$L142="Deferred",5,1)))),""))</f>
        <v/>
      </c>
      <c r="U142" s="58" t="str">
        <f>IF(OR(WBS!$F142="",WBS!$T142=""),"",IF(AND(16&gt;=WBS!$F142,16&lt;=WBS!$T142),IF(WBS!$L142="Done",3,IF(WBS!$L142="Doing",2,IF(WBS!$L142="Blocked",4,IF(WBS!$L142="Deferred",5,1)))),""))</f>
        <v/>
      </c>
      <c r="V142" s="58" t="str">
        <f>IF(OR(WBS!$F142="",WBS!$T142=""),"",IF(AND(17&gt;=WBS!$F142,17&lt;=WBS!$T142),IF(WBS!$L142="Done",3,IF(WBS!$L142="Doing",2,IF(WBS!$L142="Blocked",4,IF(WBS!$L142="Deferred",5,1)))),""))</f>
        <v/>
      </c>
      <c r="W142" s="58" t="str">
        <f>IF(OR(WBS!$F142="",WBS!$T142=""),"",IF(AND(18&gt;=WBS!$F142,18&lt;=WBS!$T142),IF(WBS!$L142="Done",3,IF(WBS!$L142="Doing",2,IF(WBS!$L142="Blocked",4,IF(WBS!$L142="Deferred",5,1)))),""))</f>
        <v/>
      </c>
      <c r="X142" s="58" t="str">
        <f>IF(OR(WBS!$F142="",WBS!$T142=""),"",IF(AND(19&gt;=WBS!$F142,19&lt;=WBS!$T142),IF(WBS!$L142="Done",3,IF(WBS!$L142="Doing",2,IF(WBS!$L142="Blocked",4,IF(WBS!$L142="Deferred",5,1)))),""))</f>
        <v/>
      </c>
      <c r="Y142" s="58" t="str">
        <f>IF(OR(WBS!$F142="",WBS!$T142=""),"",IF(AND(20&gt;=WBS!$F142,20&lt;=WBS!$T142),IF(WBS!$L142="Done",3,IF(WBS!$L142="Doing",2,IF(WBS!$L142="Blocked",4,IF(WBS!$L142="Deferred",5,1)))),""))</f>
        <v/>
      </c>
      <c r="Z142" s="58">
        <f>IF(OR(WBS!$F142="",WBS!$T142=""),"",IF(AND(21&gt;=WBS!$F142,21&lt;=WBS!$T142),IF(WBS!$L142="Done",3,IF(WBS!$L142="Doing",2,IF(WBS!$L142="Blocked",4,IF(WBS!$L142="Deferred",5,1)))),""))</f>
        <v>1</v>
      </c>
    </row>
    <row r="143" spans="1:26" x14ac:dyDescent="0.3">
      <c r="A143" s="64" t="str">
        <f>WBS!$A143</f>
        <v>8.4.2</v>
      </c>
      <c r="B143" s="65" t="str">
        <f>WBS!$C143</f>
        <v xml:space="preserve">        Final presentation deck and engineering story</v>
      </c>
      <c r="C143" s="66" t="str">
        <f>IF(WBS!$E143="","",WBS!$E143)</f>
        <v>DOC</v>
      </c>
      <c r="D143" s="67">
        <f>WBS!$J143</f>
        <v>2.5</v>
      </c>
      <c r="E143" s="68">
        <f>WBS!$M143</f>
        <v>0</v>
      </c>
      <c r="F143" s="58" t="str">
        <f>IF(OR(WBS!$F143="",WBS!$T143=""),"",IF(AND(1&gt;=WBS!$F143,1&lt;=WBS!$T143),IF(WBS!$L143="Done",3,IF(WBS!$L143="Doing",2,IF(WBS!$L143="Blocked",4,IF(WBS!$L143="Deferred",5,1)))),""))</f>
        <v/>
      </c>
      <c r="G143" s="58" t="str">
        <f>IF(OR(WBS!$F143="",WBS!$T143=""),"",IF(AND(2&gt;=WBS!$F143,2&lt;=WBS!$T143),IF(WBS!$L143="Done",3,IF(WBS!$L143="Doing",2,IF(WBS!$L143="Blocked",4,IF(WBS!$L143="Deferred",5,1)))),""))</f>
        <v/>
      </c>
      <c r="H143" s="58" t="str">
        <f>IF(OR(WBS!$F143="",WBS!$T143=""),"",IF(AND(3&gt;=WBS!$F143,3&lt;=WBS!$T143),IF(WBS!$L143="Done",3,IF(WBS!$L143="Doing",2,IF(WBS!$L143="Blocked",4,IF(WBS!$L143="Deferred",5,1)))),""))</f>
        <v/>
      </c>
      <c r="I143" s="58" t="str">
        <f>IF(OR(WBS!$F143="",WBS!$T143=""),"",IF(AND(4&gt;=WBS!$F143,4&lt;=WBS!$T143),IF(WBS!$L143="Done",3,IF(WBS!$L143="Doing",2,IF(WBS!$L143="Blocked",4,IF(WBS!$L143="Deferred",5,1)))),""))</f>
        <v/>
      </c>
      <c r="J143" s="58" t="str">
        <f>IF(OR(WBS!$F143="",WBS!$T143=""),"",IF(AND(5&gt;=WBS!$F143,5&lt;=WBS!$T143),IF(WBS!$L143="Done",3,IF(WBS!$L143="Doing",2,IF(WBS!$L143="Blocked",4,IF(WBS!$L143="Deferred",5,1)))),""))</f>
        <v/>
      </c>
      <c r="K143" s="58" t="str">
        <f>IF(OR(WBS!$F143="",WBS!$T143=""),"",IF(AND(6&gt;=WBS!$F143,6&lt;=WBS!$T143),IF(WBS!$L143="Done",3,IF(WBS!$L143="Doing",2,IF(WBS!$L143="Blocked",4,IF(WBS!$L143="Deferred",5,1)))),""))</f>
        <v/>
      </c>
      <c r="L143" s="58" t="str">
        <f>IF(OR(WBS!$F143="",WBS!$T143=""),"",IF(AND(7&gt;=WBS!$F143,7&lt;=WBS!$T143),IF(WBS!$L143="Done",3,IF(WBS!$L143="Doing",2,IF(WBS!$L143="Blocked",4,IF(WBS!$L143="Deferred",5,1)))),""))</f>
        <v/>
      </c>
      <c r="M143" s="58" t="str">
        <f>IF(OR(WBS!$F143="",WBS!$T143=""),"",IF(AND(8&gt;=WBS!$F143,8&lt;=WBS!$T143),IF(WBS!$L143="Done",3,IF(WBS!$L143="Doing",2,IF(WBS!$L143="Blocked",4,IF(WBS!$L143="Deferred",5,1)))),""))</f>
        <v/>
      </c>
      <c r="N143" s="58" t="str">
        <f>IF(OR(WBS!$F143="",WBS!$T143=""),"",IF(AND(9&gt;=WBS!$F143,9&lt;=WBS!$T143),IF(WBS!$L143="Done",3,IF(WBS!$L143="Doing",2,IF(WBS!$L143="Blocked",4,IF(WBS!$L143="Deferred",5,1)))),""))</f>
        <v/>
      </c>
      <c r="O143" s="58" t="str">
        <f>IF(OR(WBS!$F143="",WBS!$T143=""),"",IF(AND(10&gt;=WBS!$F143,10&lt;=WBS!$T143),IF(WBS!$L143="Done",3,IF(WBS!$L143="Doing",2,IF(WBS!$L143="Blocked",4,IF(WBS!$L143="Deferred",5,1)))),""))</f>
        <v/>
      </c>
      <c r="P143" s="58" t="str">
        <f>IF(OR(WBS!$F143="",WBS!$T143=""),"",IF(AND(11&gt;=WBS!$F143,11&lt;=WBS!$T143),IF(WBS!$L143="Done",3,IF(WBS!$L143="Doing",2,IF(WBS!$L143="Blocked",4,IF(WBS!$L143="Deferred",5,1)))),""))</f>
        <v/>
      </c>
      <c r="Q143" s="58" t="str">
        <f>IF(OR(WBS!$F143="",WBS!$T143=""),"",IF(AND(12&gt;=WBS!$F143,12&lt;=WBS!$T143),IF(WBS!$L143="Done",3,IF(WBS!$L143="Doing",2,IF(WBS!$L143="Blocked",4,IF(WBS!$L143="Deferred",5,1)))),""))</f>
        <v/>
      </c>
      <c r="R143" s="58" t="str">
        <f>IF(OR(WBS!$F143="",WBS!$T143=""),"",IF(AND(13&gt;=WBS!$F143,13&lt;=WBS!$T143),IF(WBS!$L143="Done",3,IF(WBS!$L143="Doing",2,IF(WBS!$L143="Blocked",4,IF(WBS!$L143="Deferred",5,1)))),""))</f>
        <v/>
      </c>
      <c r="S143" s="58" t="str">
        <f>IF(OR(WBS!$F143="",WBS!$T143=""),"",IF(AND(14&gt;=WBS!$F143,14&lt;=WBS!$T143),IF(WBS!$L143="Done",3,IF(WBS!$L143="Doing",2,IF(WBS!$L143="Blocked",4,IF(WBS!$L143="Deferred",5,1)))),""))</f>
        <v/>
      </c>
      <c r="T143" s="58" t="str">
        <f>IF(OR(WBS!$F143="",WBS!$T143=""),"",IF(AND(15&gt;=WBS!$F143,15&lt;=WBS!$T143),IF(WBS!$L143="Done",3,IF(WBS!$L143="Doing",2,IF(WBS!$L143="Blocked",4,IF(WBS!$L143="Deferred",5,1)))),""))</f>
        <v/>
      </c>
      <c r="U143" s="58" t="str">
        <f>IF(OR(WBS!$F143="",WBS!$T143=""),"",IF(AND(16&gt;=WBS!$F143,16&lt;=WBS!$T143),IF(WBS!$L143="Done",3,IF(WBS!$L143="Doing",2,IF(WBS!$L143="Blocked",4,IF(WBS!$L143="Deferred",5,1)))),""))</f>
        <v/>
      </c>
      <c r="V143" s="58" t="str">
        <f>IF(OR(WBS!$F143="",WBS!$T143=""),"",IF(AND(17&gt;=WBS!$F143,17&lt;=WBS!$T143),IF(WBS!$L143="Done",3,IF(WBS!$L143="Doing",2,IF(WBS!$L143="Blocked",4,IF(WBS!$L143="Deferred",5,1)))),""))</f>
        <v/>
      </c>
      <c r="W143" s="58" t="str">
        <f>IF(OR(WBS!$F143="",WBS!$T143=""),"",IF(AND(18&gt;=WBS!$F143,18&lt;=WBS!$T143),IF(WBS!$L143="Done",3,IF(WBS!$L143="Doing",2,IF(WBS!$L143="Blocked",4,IF(WBS!$L143="Deferred",5,1)))),""))</f>
        <v/>
      </c>
      <c r="X143" s="58" t="str">
        <f>IF(OR(WBS!$F143="",WBS!$T143=""),"",IF(AND(19&gt;=WBS!$F143,19&lt;=WBS!$T143),IF(WBS!$L143="Done",3,IF(WBS!$L143="Doing",2,IF(WBS!$L143="Blocked",4,IF(WBS!$L143="Deferred",5,1)))),""))</f>
        <v/>
      </c>
      <c r="Y143" s="58" t="str">
        <f>IF(OR(WBS!$F143="",WBS!$T143=""),"",IF(AND(20&gt;=WBS!$F143,20&lt;=WBS!$T143),IF(WBS!$L143="Done",3,IF(WBS!$L143="Doing",2,IF(WBS!$L143="Blocked",4,IF(WBS!$L143="Deferred",5,1)))),""))</f>
        <v/>
      </c>
      <c r="Z143" s="58">
        <f>IF(OR(WBS!$F143="",WBS!$T143=""),"",IF(AND(21&gt;=WBS!$F143,21&lt;=WBS!$T143),IF(WBS!$L143="Done",3,IF(WBS!$L143="Doing",2,IF(WBS!$L143="Blocked",4,IF(WBS!$L143="Deferred",5,1)))),""))</f>
        <v>1</v>
      </c>
    </row>
    <row r="144" spans="1:26" x14ac:dyDescent="0.3">
      <c r="A144" s="64" t="str">
        <f>WBS!$A144</f>
        <v>8.4.3</v>
      </c>
      <c r="B144" s="65" t="str">
        <f>WBS!$C144</f>
        <v xml:space="preserve">        Final review and submission</v>
      </c>
      <c r="C144" s="66" t="str">
        <f>IF(WBS!$E144="","",WBS!$E144)</f>
        <v>DOC</v>
      </c>
      <c r="D144" s="67">
        <f>WBS!$J144</f>
        <v>1</v>
      </c>
      <c r="E144" s="68">
        <f>WBS!$M144</f>
        <v>0</v>
      </c>
      <c r="F144" s="58" t="str">
        <f>IF(OR(WBS!$F144="",WBS!$T144=""),"",IF(AND(1&gt;=WBS!$F144,1&lt;=WBS!$T144),IF(WBS!$L144="Done",3,IF(WBS!$L144="Doing",2,IF(WBS!$L144="Blocked",4,IF(WBS!$L144="Deferred",5,1)))),""))</f>
        <v/>
      </c>
      <c r="G144" s="58" t="str">
        <f>IF(OR(WBS!$F144="",WBS!$T144=""),"",IF(AND(2&gt;=WBS!$F144,2&lt;=WBS!$T144),IF(WBS!$L144="Done",3,IF(WBS!$L144="Doing",2,IF(WBS!$L144="Blocked",4,IF(WBS!$L144="Deferred",5,1)))),""))</f>
        <v/>
      </c>
      <c r="H144" s="58" t="str">
        <f>IF(OR(WBS!$F144="",WBS!$T144=""),"",IF(AND(3&gt;=WBS!$F144,3&lt;=WBS!$T144),IF(WBS!$L144="Done",3,IF(WBS!$L144="Doing",2,IF(WBS!$L144="Blocked",4,IF(WBS!$L144="Deferred",5,1)))),""))</f>
        <v/>
      </c>
      <c r="I144" s="58" t="str">
        <f>IF(OR(WBS!$F144="",WBS!$T144=""),"",IF(AND(4&gt;=WBS!$F144,4&lt;=WBS!$T144),IF(WBS!$L144="Done",3,IF(WBS!$L144="Doing",2,IF(WBS!$L144="Blocked",4,IF(WBS!$L144="Deferred",5,1)))),""))</f>
        <v/>
      </c>
      <c r="J144" s="58" t="str">
        <f>IF(OR(WBS!$F144="",WBS!$T144=""),"",IF(AND(5&gt;=WBS!$F144,5&lt;=WBS!$T144),IF(WBS!$L144="Done",3,IF(WBS!$L144="Doing",2,IF(WBS!$L144="Blocked",4,IF(WBS!$L144="Deferred",5,1)))),""))</f>
        <v/>
      </c>
      <c r="K144" s="58" t="str">
        <f>IF(OR(WBS!$F144="",WBS!$T144=""),"",IF(AND(6&gt;=WBS!$F144,6&lt;=WBS!$T144),IF(WBS!$L144="Done",3,IF(WBS!$L144="Doing",2,IF(WBS!$L144="Blocked",4,IF(WBS!$L144="Deferred",5,1)))),""))</f>
        <v/>
      </c>
      <c r="L144" s="58" t="str">
        <f>IF(OR(WBS!$F144="",WBS!$T144=""),"",IF(AND(7&gt;=WBS!$F144,7&lt;=WBS!$T144),IF(WBS!$L144="Done",3,IF(WBS!$L144="Doing",2,IF(WBS!$L144="Blocked",4,IF(WBS!$L144="Deferred",5,1)))),""))</f>
        <v/>
      </c>
      <c r="M144" s="58" t="str">
        <f>IF(OR(WBS!$F144="",WBS!$T144=""),"",IF(AND(8&gt;=WBS!$F144,8&lt;=WBS!$T144),IF(WBS!$L144="Done",3,IF(WBS!$L144="Doing",2,IF(WBS!$L144="Blocked",4,IF(WBS!$L144="Deferred",5,1)))),""))</f>
        <v/>
      </c>
      <c r="N144" s="58" t="str">
        <f>IF(OR(WBS!$F144="",WBS!$T144=""),"",IF(AND(9&gt;=WBS!$F144,9&lt;=WBS!$T144),IF(WBS!$L144="Done",3,IF(WBS!$L144="Doing",2,IF(WBS!$L144="Blocked",4,IF(WBS!$L144="Deferred",5,1)))),""))</f>
        <v/>
      </c>
      <c r="O144" s="58" t="str">
        <f>IF(OR(WBS!$F144="",WBS!$T144=""),"",IF(AND(10&gt;=WBS!$F144,10&lt;=WBS!$T144),IF(WBS!$L144="Done",3,IF(WBS!$L144="Doing",2,IF(WBS!$L144="Blocked",4,IF(WBS!$L144="Deferred",5,1)))),""))</f>
        <v/>
      </c>
      <c r="P144" s="58" t="str">
        <f>IF(OR(WBS!$F144="",WBS!$T144=""),"",IF(AND(11&gt;=WBS!$F144,11&lt;=WBS!$T144),IF(WBS!$L144="Done",3,IF(WBS!$L144="Doing",2,IF(WBS!$L144="Blocked",4,IF(WBS!$L144="Deferred",5,1)))),""))</f>
        <v/>
      </c>
      <c r="Q144" s="58" t="str">
        <f>IF(OR(WBS!$F144="",WBS!$T144=""),"",IF(AND(12&gt;=WBS!$F144,12&lt;=WBS!$T144),IF(WBS!$L144="Done",3,IF(WBS!$L144="Doing",2,IF(WBS!$L144="Blocked",4,IF(WBS!$L144="Deferred",5,1)))),""))</f>
        <v/>
      </c>
      <c r="R144" s="58" t="str">
        <f>IF(OR(WBS!$F144="",WBS!$T144=""),"",IF(AND(13&gt;=WBS!$F144,13&lt;=WBS!$T144),IF(WBS!$L144="Done",3,IF(WBS!$L144="Doing",2,IF(WBS!$L144="Blocked",4,IF(WBS!$L144="Deferred",5,1)))),""))</f>
        <v/>
      </c>
      <c r="S144" s="58" t="str">
        <f>IF(OR(WBS!$F144="",WBS!$T144=""),"",IF(AND(14&gt;=WBS!$F144,14&lt;=WBS!$T144),IF(WBS!$L144="Done",3,IF(WBS!$L144="Doing",2,IF(WBS!$L144="Blocked",4,IF(WBS!$L144="Deferred",5,1)))),""))</f>
        <v/>
      </c>
      <c r="T144" s="58" t="str">
        <f>IF(OR(WBS!$F144="",WBS!$T144=""),"",IF(AND(15&gt;=WBS!$F144,15&lt;=WBS!$T144),IF(WBS!$L144="Done",3,IF(WBS!$L144="Doing",2,IF(WBS!$L144="Blocked",4,IF(WBS!$L144="Deferred",5,1)))),""))</f>
        <v/>
      </c>
      <c r="U144" s="58" t="str">
        <f>IF(OR(WBS!$F144="",WBS!$T144=""),"",IF(AND(16&gt;=WBS!$F144,16&lt;=WBS!$T144),IF(WBS!$L144="Done",3,IF(WBS!$L144="Doing",2,IF(WBS!$L144="Blocked",4,IF(WBS!$L144="Deferred",5,1)))),""))</f>
        <v/>
      </c>
      <c r="V144" s="58" t="str">
        <f>IF(OR(WBS!$F144="",WBS!$T144=""),"",IF(AND(17&gt;=WBS!$F144,17&lt;=WBS!$T144),IF(WBS!$L144="Done",3,IF(WBS!$L144="Doing",2,IF(WBS!$L144="Blocked",4,IF(WBS!$L144="Deferred",5,1)))),""))</f>
        <v/>
      </c>
      <c r="W144" s="58" t="str">
        <f>IF(OR(WBS!$F144="",WBS!$T144=""),"",IF(AND(18&gt;=WBS!$F144,18&lt;=WBS!$T144),IF(WBS!$L144="Done",3,IF(WBS!$L144="Doing",2,IF(WBS!$L144="Blocked",4,IF(WBS!$L144="Deferred",5,1)))),""))</f>
        <v/>
      </c>
      <c r="X144" s="58" t="str">
        <f>IF(OR(WBS!$F144="",WBS!$T144=""),"",IF(AND(19&gt;=WBS!$F144,19&lt;=WBS!$T144),IF(WBS!$L144="Done",3,IF(WBS!$L144="Doing",2,IF(WBS!$L144="Blocked",4,IF(WBS!$L144="Deferred",5,1)))),""))</f>
        <v/>
      </c>
      <c r="Y144" s="58" t="str">
        <f>IF(OR(WBS!$F144="",WBS!$T144=""),"",IF(AND(20&gt;=WBS!$F144,20&lt;=WBS!$T144),IF(WBS!$L144="Done",3,IF(WBS!$L144="Doing",2,IF(WBS!$L144="Blocked",4,IF(WBS!$L144="Deferred",5,1)))),""))</f>
        <v/>
      </c>
      <c r="Z144" s="58">
        <f>IF(OR(WBS!$F144="",WBS!$T144=""),"",IF(AND(21&gt;=WBS!$F144,21&lt;=WBS!$T144),IF(WBS!$L144="Done",3,IF(WBS!$L144="Doing",2,IF(WBS!$L144="Blocked",4,IF(WBS!$L144="Deferred",5,1)))),""))</f>
        <v>1</v>
      </c>
    </row>
  </sheetData>
  <conditionalFormatting sqref="F5:Z144">
    <cfRule type="cellIs" dxfId="14" priority="1" operator="equal">
      <formula>1</formula>
    </cfRule>
    <cfRule type="cellIs" dxfId="13" priority="2" operator="equal">
      <formula>2</formula>
    </cfRule>
    <cfRule type="cellIs" dxfId="12" priority="3" operator="equal">
      <formula>3</formula>
    </cfRule>
    <cfRule type="cellIs" dxfId="11" priority="4" operator="equal">
      <formula>4</formula>
    </cfRule>
    <cfRule type="cellIs" dxfId="10" priority="5" operator="equal">
      <formula>5</formula>
    </cfRule>
  </conditionalFormatting>
  <pageMargins left="0.75" right="0.75" top="1" bottom="1" header="0.5" footer="0.5"/>
  <headerFooter>
    <oddHeader>&amp;R&amp;"Aptos"&amp;10&amp;K000000 Classification: Confidential&amp;1#_x000D_</oddHeader>
  </headerFooter>
  <extLst>
    <ext xmlns:x14="http://schemas.microsoft.com/office/spreadsheetml/2009/9/main" uri="{78C0D931-6437-407d-A8EE-F0AAD7539E65}">
      <x14:conditionalFormattings>
        <x14:conditionalFormatting xmlns:xm="http://schemas.microsoft.com/office/excel/2006/main">
          <x14:cfRule type="expression" priority="6" id="{00000000-000E-0000-0200-000006000000}">
            <xm:f>F$4="D"&amp;Dashboard!$B$5</xm:f>
            <x14:dxf>
              <border>
                <left style="medium">
                  <color rgb="FFFF0000"/>
                </left>
              </border>
            </x14:dxf>
          </x14:cfRule>
          <xm:sqref>F5:Z144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F36"/>
  <sheetViews>
    <sheetView showGridLines="0" workbookViewId="0"/>
  </sheetViews>
  <sheetFormatPr defaultRowHeight="14.4" x14ac:dyDescent="0.3"/>
  <cols>
    <col min="1" max="1" width="26" customWidth="1"/>
    <col min="2" max="3" width="16" customWidth="1"/>
    <col min="4" max="4" width="44" customWidth="1"/>
    <col min="5" max="5" width="22" customWidth="1"/>
    <col min="6" max="6" width="42" customWidth="1"/>
  </cols>
  <sheetData>
    <row r="1" spans="1:6" ht="17.399999999999999" x14ac:dyDescent="0.3">
      <c r="A1" s="1" t="s">
        <v>510</v>
      </c>
    </row>
    <row r="2" spans="1:6" x14ac:dyDescent="0.3">
      <c r="A2" s="2" t="s">
        <v>511</v>
      </c>
    </row>
    <row r="4" spans="1:6" x14ac:dyDescent="0.3">
      <c r="A4" s="10" t="s">
        <v>512</v>
      </c>
    </row>
    <row r="5" spans="1:6" ht="61.95" customHeight="1" x14ac:dyDescent="0.3">
      <c r="A5" s="95" t="s">
        <v>513</v>
      </c>
      <c r="B5" s="94"/>
      <c r="C5" s="94"/>
      <c r="D5" s="94"/>
      <c r="E5" s="94"/>
      <c r="F5" s="94"/>
    </row>
    <row r="7" spans="1:6" x14ac:dyDescent="0.3">
      <c r="A7" s="10" t="s">
        <v>514</v>
      </c>
    </row>
    <row r="8" spans="1:6" ht="30" customHeight="1" x14ac:dyDescent="0.3">
      <c r="A8" s="28" t="s">
        <v>515</v>
      </c>
      <c r="B8" s="28" t="s">
        <v>516</v>
      </c>
      <c r="C8" s="28" t="s">
        <v>517</v>
      </c>
      <c r="D8" s="28" t="s">
        <v>518</v>
      </c>
      <c r="E8" s="28" t="s">
        <v>519</v>
      </c>
      <c r="F8" s="28" t="s">
        <v>520</v>
      </c>
    </row>
    <row r="9" spans="1:6" ht="91.95" customHeight="1" x14ac:dyDescent="0.3">
      <c r="A9" s="70" t="s">
        <v>521</v>
      </c>
      <c r="B9" s="71" t="s">
        <v>522</v>
      </c>
      <c r="C9" s="71" t="s">
        <v>523</v>
      </c>
      <c r="D9" s="71" t="s">
        <v>524</v>
      </c>
      <c r="E9" s="71" t="s">
        <v>525</v>
      </c>
      <c r="F9" s="71" t="s">
        <v>526</v>
      </c>
    </row>
    <row r="10" spans="1:6" ht="91.95" customHeight="1" x14ac:dyDescent="0.3">
      <c r="A10" s="70" t="s">
        <v>527</v>
      </c>
      <c r="B10" s="71" t="s">
        <v>528</v>
      </c>
      <c r="C10" s="71" t="s">
        <v>529</v>
      </c>
      <c r="D10" s="71" t="s">
        <v>530</v>
      </c>
      <c r="E10" s="71" t="s">
        <v>531</v>
      </c>
      <c r="F10" s="71" t="s">
        <v>532</v>
      </c>
    </row>
    <row r="11" spans="1:6" ht="91.95" customHeight="1" x14ac:dyDescent="0.3">
      <c r="A11" s="70" t="s">
        <v>533</v>
      </c>
      <c r="B11" s="71" t="s">
        <v>534</v>
      </c>
      <c r="C11" s="71" t="s">
        <v>535</v>
      </c>
      <c r="D11" s="71" t="s">
        <v>536</v>
      </c>
      <c r="E11" s="71" t="s">
        <v>537</v>
      </c>
      <c r="F11" s="71" t="s">
        <v>538</v>
      </c>
    </row>
    <row r="12" spans="1:6" ht="91.95" customHeight="1" x14ac:dyDescent="0.3">
      <c r="A12" s="70" t="s">
        <v>539</v>
      </c>
      <c r="B12" s="71" t="s">
        <v>540</v>
      </c>
      <c r="C12" s="71" t="s">
        <v>541</v>
      </c>
      <c r="D12" s="71" t="s">
        <v>542</v>
      </c>
      <c r="E12" s="71" t="s">
        <v>543</v>
      </c>
      <c r="F12" s="71" t="s">
        <v>544</v>
      </c>
    </row>
    <row r="13" spans="1:6" ht="91.95" customHeight="1" x14ac:dyDescent="0.3">
      <c r="A13" s="70" t="s">
        <v>545</v>
      </c>
      <c r="B13" s="71" t="s">
        <v>546</v>
      </c>
      <c r="C13" s="71" t="s">
        <v>547</v>
      </c>
      <c r="D13" s="71" t="s">
        <v>548</v>
      </c>
      <c r="E13" s="71" t="s">
        <v>549</v>
      </c>
      <c r="F13" s="71" t="s">
        <v>550</v>
      </c>
    </row>
    <row r="16" spans="1:6" x14ac:dyDescent="0.3">
      <c r="A16" s="10" t="s">
        <v>551</v>
      </c>
    </row>
    <row r="17" spans="1:6" ht="30" customHeight="1" x14ac:dyDescent="0.3">
      <c r="A17" s="28" t="s">
        <v>552</v>
      </c>
      <c r="B17" s="28" t="s">
        <v>553</v>
      </c>
      <c r="C17" s="28" t="s">
        <v>554</v>
      </c>
      <c r="D17" s="28" t="s">
        <v>555</v>
      </c>
      <c r="E17" s="28" t="s">
        <v>556</v>
      </c>
    </row>
    <row r="18" spans="1:6" ht="30" customHeight="1" x14ac:dyDescent="0.3">
      <c r="A18" s="71" t="s">
        <v>557</v>
      </c>
      <c r="B18" s="71" t="s">
        <v>521</v>
      </c>
      <c r="C18" s="71" t="s">
        <v>527</v>
      </c>
      <c r="D18" s="71" t="s">
        <v>558</v>
      </c>
      <c r="E18" s="71" t="s">
        <v>559</v>
      </c>
    </row>
    <row r="19" spans="1:6" ht="30" customHeight="1" x14ac:dyDescent="0.3">
      <c r="A19" s="71" t="s">
        <v>560</v>
      </c>
      <c r="B19" s="71" t="s">
        <v>521</v>
      </c>
      <c r="C19" s="71" t="s">
        <v>527</v>
      </c>
      <c r="D19" s="71" t="s">
        <v>561</v>
      </c>
      <c r="E19" s="71" t="s">
        <v>559</v>
      </c>
    </row>
    <row r="20" spans="1:6" ht="30" customHeight="1" x14ac:dyDescent="0.3">
      <c r="A20" s="71" t="s">
        <v>562</v>
      </c>
      <c r="B20" s="71" t="s">
        <v>539</v>
      </c>
      <c r="C20" s="71" t="s">
        <v>527</v>
      </c>
      <c r="D20" s="71" t="s">
        <v>563</v>
      </c>
      <c r="E20" s="71" t="s">
        <v>564</v>
      </c>
    </row>
    <row r="21" spans="1:6" ht="30" customHeight="1" x14ac:dyDescent="0.3">
      <c r="A21" s="71" t="s">
        <v>565</v>
      </c>
      <c r="B21" s="71" t="s">
        <v>539</v>
      </c>
      <c r="C21" s="71" t="s">
        <v>527</v>
      </c>
      <c r="D21" s="71" t="s">
        <v>566</v>
      </c>
      <c r="E21" s="71" t="s">
        <v>564</v>
      </c>
    </row>
    <row r="22" spans="1:6" ht="30" customHeight="1" x14ac:dyDescent="0.3">
      <c r="A22" s="71" t="s">
        <v>567</v>
      </c>
      <c r="B22" s="71" t="s">
        <v>521</v>
      </c>
      <c r="C22" s="71" t="s">
        <v>527</v>
      </c>
      <c r="D22" s="71" t="s">
        <v>568</v>
      </c>
      <c r="E22" s="71" t="s">
        <v>559</v>
      </c>
    </row>
    <row r="23" spans="1:6" ht="30" customHeight="1" x14ac:dyDescent="0.3">
      <c r="A23" s="71" t="s">
        <v>569</v>
      </c>
      <c r="B23" s="71" t="s">
        <v>533</v>
      </c>
      <c r="C23" s="71" t="s">
        <v>527</v>
      </c>
      <c r="D23" s="71" t="s">
        <v>570</v>
      </c>
      <c r="E23" s="71" t="s">
        <v>99</v>
      </c>
    </row>
    <row r="24" spans="1:6" ht="30" customHeight="1" x14ac:dyDescent="0.3">
      <c r="A24" s="71" t="s">
        <v>571</v>
      </c>
      <c r="B24" s="71" t="s">
        <v>527</v>
      </c>
      <c r="C24" s="71" t="s">
        <v>533</v>
      </c>
      <c r="D24" s="71" t="s">
        <v>572</v>
      </c>
      <c r="E24" s="71" t="s">
        <v>559</v>
      </c>
    </row>
    <row r="25" spans="1:6" ht="30" customHeight="1" x14ac:dyDescent="0.3">
      <c r="A25" s="71" t="s">
        <v>573</v>
      </c>
      <c r="B25" s="71" t="s">
        <v>533</v>
      </c>
      <c r="C25" s="71" t="s">
        <v>547</v>
      </c>
      <c r="D25" s="71" t="s">
        <v>574</v>
      </c>
      <c r="E25" s="71" t="s">
        <v>559</v>
      </c>
    </row>
    <row r="26" spans="1:6" ht="30" customHeight="1" x14ac:dyDescent="0.3">
      <c r="A26" s="71" t="s">
        <v>575</v>
      </c>
      <c r="B26" s="71" t="s">
        <v>533</v>
      </c>
      <c r="C26" s="71" t="s">
        <v>527</v>
      </c>
      <c r="D26" s="71" t="s">
        <v>576</v>
      </c>
      <c r="E26" s="71" t="s">
        <v>95</v>
      </c>
    </row>
    <row r="27" spans="1:6" ht="30" customHeight="1" x14ac:dyDescent="0.3">
      <c r="A27" s="71" t="s">
        <v>577</v>
      </c>
      <c r="B27" s="71" t="s">
        <v>521</v>
      </c>
      <c r="C27" s="71" t="s">
        <v>533</v>
      </c>
      <c r="D27" s="71" t="s">
        <v>578</v>
      </c>
      <c r="E27" s="71" t="s">
        <v>91</v>
      </c>
    </row>
    <row r="29" spans="1:6" x14ac:dyDescent="0.3">
      <c r="A29" s="10" t="s">
        <v>579</v>
      </c>
    </row>
    <row r="30" spans="1:6" ht="30" customHeight="1" x14ac:dyDescent="0.3">
      <c r="A30" s="72">
        <v>1</v>
      </c>
      <c r="B30" s="93" t="s">
        <v>580</v>
      </c>
      <c r="C30" s="94"/>
      <c r="D30" s="94"/>
      <c r="E30" s="94"/>
      <c r="F30" s="94"/>
    </row>
    <row r="31" spans="1:6" ht="30" customHeight="1" x14ac:dyDescent="0.3">
      <c r="A31" s="72">
        <v>2</v>
      </c>
      <c r="B31" s="93" t="s">
        <v>581</v>
      </c>
      <c r="C31" s="94"/>
      <c r="D31" s="94"/>
      <c r="E31" s="94"/>
      <c r="F31" s="94"/>
    </row>
    <row r="32" spans="1:6" ht="30" customHeight="1" x14ac:dyDescent="0.3">
      <c r="A32" s="72">
        <v>3</v>
      </c>
      <c r="B32" s="93" t="s">
        <v>582</v>
      </c>
      <c r="C32" s="94"/>
      <c r="D32" s="94"/>
      <c r="E32" s="94"/>
      <c r="F32" s="94"/>
    </row>
    <row r="33" spans="1:6" ht="30" customHeight="1" x14ac:dyDescent="0.3">
      <c r="A33" s="72">
        <v>4</v>
      </c>
      <c r="B33" s="93" t="s">
        <v>583</v>
      </c>
      <c r="C33" s="94"/>
      <c r="D33" s="94"/>
      <c r="E33" s="94"/>
      <c r="F33" s="94"/>
    </row>
    <row r="34" spans="1:6" ht="30" customHeight="1" x14ac:dyDescent="0.3">
      <c r="A34" s="72">
        <v>5</v>
      </c>
      <c r="B34" s="93" t="s">
        <v>584</v>
      </c>
      <c r="C34" s="94"/>
      <c r="D34" s="94"/>
      <c r="E34" s="94"/>
      <c r="F34" s="94"/>
    </row>
    <row r="35" spans="1:6" ht="30" customHeight="1" x14ac:dyDescent="0.3">
      <c r="A35" s="72">
        <v>6</v>
      </c>
      <c r="B35" s="93" t="s">
        <v>585</v>
      </c>
      <c r="C35" s="94"/>
      <c r="D35" s="94"/>
      <c r="E35" s="94"/>
      <c r="F35" s="94"/>
    </row>
    <row r="36" spans="1:6" ht="30" customHeight="1" x14ac:dyDescent="0.3">
      <c r="A36" s="72">
        <v>7</v>
      </c>
      <c r="B36" s="93" t="s">
        <v>586</v>
      </c>
      <c r="C36" s="94"/>
      <c r="D36" s="94"/>
      <c r="E36" s="94"/>
      <c r="F36" s="94"/>
    </row>
  </sheetData>
  <mergeCells count="8">
    <mergeCell ref="B36:F36"/>
    <mergeCell ref="B32:F32"/>
    <mergeCell ref="B35:F35"/>
    <mergeCell ref="B30:F30"/>
    <mergeCell ref="B34:F34"/>
    <mergeCell ref="B33:F33"/>
    <mergeCell ref="A5:F5"/>
    <mergeCell ref="B31:F31"/>
  </mergeCells>
  <pageMargins left="0.75" right="0.75" top="1" bottom="1" header="0.5" footer="0.5"/>
  <headerFooter>
    <oddHeader>&amp;R&amp;"Aptos"&amp;10&amp;K000000 Classification: Confidential&amp;1#_x000D_</oddHeader>
  </headerFooter>
  <extLst>
    <ext xmlns:x14="http://schemas.microsoft.com/office/spreadsheetml/2009/9/main" uri="{CCE6A557-97BC-4b89-ADB6-D9C93CAAB3DF}">
      <x14:dataValidations xmlns:xm="http://schemas.microsoft.com/office/excel/2006/main" count="1">
        <x14:dataValidation type="list" allowBlank="1" errorTitle="Not in list" error="Pick a value from the list." xr:uid="{00000000-0002-0000-0300-000000000000}">
          <x14:formula1>
            <xm:f>Lists!$M$5:$M$8</xm:f>
          </x14:formula1>
          <xm:sqref>B18:C27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R204"/>
  <sheetViews>
    <sheetView workbookViewId="0">
      <pane xSplit="3" ySplit="4" topLeftCell="D5" activePane="bottomRight" state="frozen"/>
      <selection pane="topRight"/>
      <selection pane="bottomLeft"/>
      <selection pane="bottomRight"/>
    </sheetView>
  </sheetViews>
  <sheetFormatPr defaultRowHeight="14.4" x14ac:dyDescent="0.3"/>
  <cols>
    <col min="1" max="1" width="5" customWidth="1"/>
    <col min="2" max="2" width="11" customWidth="1"/>
    <col min="3" max="3" width="5" customWidth="1"/>
    <col min="4" max="4" width="10" customWidth="1"/>
    <col min="5" max="5" width="6" customWidth="1"/>
    <col min="6" max="6" width="15" customWidth="1"/>
    <col min="7" max="7" width="20" customWidth="1"/>
    <col min="8" max="9" width="42" customWidth="1"/>
    <col min="10" max="10" width="18" customWidth="1"/>
    <col min="11" max="11" width="7" customWidth="1"/>
    <col min="12" max="12" width="20" customWidth="1"/>
    <col min="13" max="13" width="56" customWidth="1"/>
    <col min="14" max="14" width="22" customWidth="1"/>
    <col min="15" max="17" width="8" customWidth="1"/>
    <col min="18" max="18" width="26" customWidth="1"/>
  </cols>
  <sheetData>
    <row r="1" spans="1:18" ht="17.399999999999999" x14ac:dyDescent="0.3">
      <c r="A1" s="1" t="s">
        <v>559</v>
      </c>
    </row>
    <row r="2" spans="1:18" x14ac:dyDescent="0.3">
      <c r="A2" s="2" t="s">
        <v>587</v>
      </c>
    </row>
    <row r="4" spans="1:18" ht="30" customHeight="1" x14ac:dyDescent="0.3">
      <c r="A4" s="28" t="s">
        <v>33</v>
      </c>
      <c r="B4" s="28" t="s">
        <v>61</v>
      </c>
      <c r="C4" s="28" t="s">
        <v>60</v>
      </c>
      <c r="D4" s="28" t="s">
        <v>588</v>
      </c>
      <c r="E4" s="28" t="s">
        <v>144</v>
      </c>
      <c r="F4" s="28" t="s">
        <v>589</v>
      </c>
      <c r="G4" s="28" t="s">
        <v>552</v>
      </c>
      <c r="H4" s="28" t="s">
        <v>590</v>
      </c>
      <c r="I4" s="28" t="s">
        <v>591</v>
      </c>
      <c r="J4" s="28" t="s">
        <v>592</v>
      </c>
      <c r="K4" s="28" t="s">
        <v>593</v>
      </c>
      <c r="L4" s="28" t="s">
        <v>594</v>
      </c>
      <c r="M4" s="28" t="s">
        <v>595</v>
      </c>
      <c r="N4" s="28" t="s">
        <v>596</v>
      </c>
      <c r="O4" s="28" t="s">
        <v>597</v>
      </c>
      <c r="P4" s="28" t="s">
        <v>598</v>
      </c>
      <c r="Q4" s="28" t="s">
        <v>599</v>
      </c>
      <c r="R4" s="28" t="s">
        <v>600</v>
      </c>
    </row>
    <row r="5" spans="1:18" ht="54" customHeight="1" x14ac:dyDescent="0.3">
      <c r="A5" s="73">
        <v>1</v>
      </c>
      <c r="B5" s="74" t="s">
        <v>601</v>
      </c>
      <c r="C5" s="73">
        <v>6</v>
      </c>
      <c r="D5" s="73" t="s">
        <v>261</v>
      </c>
      <c r="E5" s="73" t="s">
        <v>259</v>
      </c>
      <c r="F5" s="73" t="s">
        <v>533</v>
      </c>
      <c r="G5" s="73" t="s">
        <v>569</v>
      </c>
      <c r="H5" s="75" t="s">
        <v>602</v>
      </c>
      <c r="I5" s="75" t="s">
        <v>603</v>
      </c>
      <c r="J5" s="73" t="s">
        <v>604</v>
      </c>
      <c r="K5" s="73" t="s">
        <v>605</v>
      </c>
      <c r="L5" s="73" t="s">
        <v>606</v>
      </c>
      <c r="M5" s="75" t="s">
        <v>607</v>
      </c>
      <c r="N5" s="73" t="s">
        <v>608</v>
      </c>
      <c r="O5" s="73">
        <v>1.5</v>
      </c>
      <c r="P5" s="73">
        <v>0.5</v>
      </c>
      <c r="Q5" s="73">
        <f>IFERROR($O5-$P5,0)</f>
        <v>1</v>
      </c>
      <c r="R5" s="73" t="s">
        <v>609</v>
      </c>
    </row>
    <row r="6" spans="1:18" ht="54" customHeight="1" x14ac:dyDescent="0.3">
      <c r="A6" s="73">
        <v>2</v>
      </c>
      <c r="B6" s="74" t="s">
        <v>601</v>
      </c>
      <c r="C6" s="73">
        <v>6</v>
      </c>
      <c r="D6" s="73" t="s">
        <v>295</v>
      </c>
      <c r="E6" s="73" t="s">
        <v>259</v>
      </c>
      <c r="F6" s="73" t="s">
        <v>533</v>
      </c>
      <c r="G6" s="73" t="s">
        <v>562</v>
      </c>
      <c r="H6" s="75" t="s">
        <v>610</v>
      </c>
      <c r="I6" s="75" t="s">
        <v>611</v>
      </c>
      <c r="J6" s="73" t="s">
        <v>612</v>
      </c>
      <c r="K6" s="73" t="s">
        <v>605</v>
      </c>
      <c r="L6" s="73" t="s">
        <v>613</v>
      </c>
      <c r="M6" s="75" t="s">
        <v>614</v>
      </c>
      <c r="N6" s="73" t="s">
        <v>615</v>
      </c>
      <c r="O6" s="73">
        <v>0</v>
      </c>
      <c r="P6" s="73">
        <v>1</v>
      </c>
      <c r="Q6" s="73">
        <f>IFERROR($O6-$P6,0)</f>
        <v>-1</v>
      </c>
      <c r="R6" s="73" t="s">
        <v>616</v>
      </c>
    </row>
    <row r="7" spans="1:18" x14ac:dyDescent="0.3">
      <c r="A7" s="76" t="str">
        <f t="shared" ref="A7:A38" si="0">IF($B7="","",ROW()-4)</f>
        <v/>
      </c>
      <c r="B7" s="77"/>
      <c r="C7" s="76" t="str">
        <f>IF($B7="","",$B7-Dashboard!$B$3+1)</f>
        <v/>
      </c>
      <c r="D7" s="78"/>
      <c r="E7" s="78"/>
      <c r="F7" s="78"/>
      <c r="G7" s="78"/>
      <c r="H7" s="79"/>
      <c r="I7" s="79"/>
      <c r="J7" s="78"/>
      <c r="K7" s="78"/>
      <c r="L7" s="78"/>
      <c r="M7" s="79"/>
      <c r="N7" s="78"/>
      <c r="O7" s="78"/>
      <c r="P7" s="78"/>
      <c r="Q7" s="76" t="str">
        <f t="shared" ref="Q7:Q38" si="1">IF($B7="","",IFERROR($O7-$P7,0))</f>
        <v/>
      </c>
      <c r="R7" s="78"/>
    </row>
    <row r="8" spans="1:18" x14ac:dyDescent="0.3">
      <c r="A8" s="76" t="str">
        <f t="shared" si="0"/>
        <v/>
      </c>
      <c r="B8" s="77"/>
      <c r="C8" s="76" t="str">
        <f>IF($B8="","",$B8-Dashboard!$B$3+1)</f>
        <v/>
      </c>
      <c r="D8" s="78"/>
      <c r="E8" s="78"/>
      <c r="F8" s="78"/>
      <c r="G8" s="78"/>
      <c r="H8" s="79"/>
      <c r="I8" s="79"/>
      <c r="J8" s="78"/>
      <c r="K8" s="78"/>
      <c r="L8" s="78"/>
      <c r="M8" s="79"/>
      <c r="N8" s="78"/>
      <c r="O8" s="78"/>
      <c r="P8" s="78"/>
      <c r="Q8" s="76" t="str">
        <f t="shared" si="1"/>
        <v/>
      </c>
      <c r="R8" s="78"/>
    </row>
    <row r="9" spans="1:18" x14ac:dyDescent="0.3">
      <c r="A9" s="76" t="str">
        <f t="shared" si="0"/>
        <v/>
      </c>
      <c r="B9" s="77"/>
      <c r="C9" s="76" t="str">
        <f>IF($B9="","",$B9-Dashboard!$B$3+1)</f>
        <v/>
      </c>
      <c r="D9" s="78"/>
      <c r="E9" s="78"/>
      <c r="F9" s="78"/>
      <c r="G9" s="78"/>
      <c r="H9" s="79"/>
      <c r="I9" s="79"/>
      <c r="J9" s="78"/>
      <c r="K9" s="78"/>
      <c r="L9" s="78"/>
      <c r="M9" s="79"/>
      <c r="N9" s="78"/>
      <c r="O9" s="78"/>
      <c r="P9" s="78"/>
      <c r="Q9" s="76" t="str">
        <f t="shared" si="1"/>
        <v/>
      </c>
      <c r="R9" s="78"/>
    </row>
    <row r="10" spans="1:18" x14ac:dyDescent="0.3">
      <c r="A10" s="76" t="str">
        <f t="shared" si="0"/>
        <v/>
      </c>
      <c r="B10" s="77"/>
      <c r="C10" s="76" t="str">
        <f>IF($B10="","",$B10-Dashboard!$B$3+1)</f>
        <v/>
      </c>
      <c r="D10" s="78"/>
      <c r="E10" s="78"/>
      <c r="F10" s="78"/>
      <c r="G10" s="78"/>
      <c r="H10" s="79"/>
      <c r="I10" s="79"/>
      <c r="J10" s="78"/>
      <c r="K10" s="78"/>
      <c r="L10" s="78"/>
      <c r="M10" s="79"/>
      <c r="N10" s="78"/>
      <c r="O10" s="78"/>
      <c r="P10" s="78"/>
      <c r="Q10" s="76" t="str">
        <f t="shared" si="1"/>
        <v/>
      </c>
      <c r="R10" s="78"/>
    </row>
    <row r="11" spans="1:18" x14ac:dyDescent="0.3">
      <c r="A11" s="76" t="str">
        <f t="shared" si="0"/>
        <v/>
      </c>
      <c r="B11" s="77"/>
      <c r="C11" s="76" t="str">
        <f>IF($B11="","",$B11-Dashboard!$B$3+1)</f>
        <v/>
      </c>
      <c r="D11" s="78"/>
      <c r="E11" s="78"/>
      <c r="F11" s="78"/>
      <c r="G11" s="78"/>
      <c r="H11" s="79"/>
      <c r="I11" s="79"/>
      <c r="J11" s="78"/>
      <c r="K11" s="78"/>
      <c r="L11" s="78"/>
      <c r="M11" s="79"/>
      <c r="N11" s="78"/>
      <c r="O11" s="78"/>
      <c r="P11" s="78"/>
      <c r="Q11" s="76" t="str">
        <f t="shared" si="1"/>
        <v/>
      </c>
      <c r="R11" s="78"/>
    </row>
    <row r="12" spans="1:18" x14ac:dyDescent="0.3">
      <c r="A12" s="76" t="str">
        <f t="shared" si="0"/>
        <v/>
      </c>
      <c r="B12" s="77"/>
      <c r="C12" s="76" t="str">
        <f>IF($B12="","",$B12-Dashboard!$B$3+1)</f>
        <v/>
      </c>
      <c r="D12" s="78"/>
      <c r="E12" s="78"/>
      <c r="F12" s="78"/>
      <c r="G12" s="78"/>
      <c r="H12" s="79"/>
      <c r="I12" s="79"/>
      <c r="J12" s="78"/>
      <c r="K12" s="78"/>
      <c r="L12" s="78"/>
      <c r="M12" s="79"/>
      <c r="N12" s="78"/>
      <c r="O12" s="78"/>
      <c r="P12" s="78"/>
      <c r="Q12" s="76" t="str">
        <f t="shared" si="1"/>
        <v/>
      </c>
      <c r="R12" s="78"/>
    </row>
    <row r="13" spans="1:18" x14ac:dyDescent="0.3">
      <c r="A13" s="76" t="str">
        <f t="shared" si="0"/>
        <v/>
      </c>
      <c r="B13" s="77"/>
      <c r="C13" s="76" t="str">
        <f>IF($B13="","",$B13-Dashboard!$B$3+1)</f>
        <v/>
      </c>
      <c r="D13" s="78"/>
      <c r="E13" s="78"/>
      <c r="F13" s="78"/>
      <c r="G13" s="78"/>
      <c r="H13" s="79"/>
      <c r="I13" s="79"/>
      <c r="J13" s="78"/>
      <c r="K13" s="78"/>
      <c r="L13" s="78"/>
      <c r="M13" s="79"/>
      <c r="N13" s="78"/>
      <c r="O13" s="78"/>
      <c r="P13" s="78"/>
      <c r="Q13" s="76" t="str">
        <f t="shared" si="1"/>
        <v/>
      </c>
      <c r="R13" s="78"/>
    </row>
    <row r="14" spans="1:18" x14ac:dyDescent="0.3">
      <c r="A14" s="76" t="str">
        <f t="shared" si="0"/>
        <v/>
      </c>
      <c r="B14" s="77"/>
      <c r="C14" s="76" t="str">
        <f>IF($B14="","",$B14-Dashboard!$B$3+1)</f>
        <v/>
      </c>
      <c r="D14" s="78"/>
      <c r="E14" s="78"/>
      <c r="F14" s="78"/>
      <c r="G14" s="78"/>
      <c r="H14" s="79"/>
      <c r="I14" s="79"/>
      <c r="J14" s="78"/>
      <c r="K14" s="78"/>
      <c r="L14" s="78"/>
      <c r="M14" s="79"/>
      <c r="N14" s="78"/>
      <c r="O14" s="78"/>
      <c r="P14" s="78"/>
      <c r="Q14" s="76" t="str">
        <f t="shared" si="1"/>
        <v/>
      </c>
      <c r="R14" s="78"/>
    </row>
    <row r="15" spans="1:18" x14ac:dyDescent="0.3">
      <c r="A15" s="76" t="str">
        <f t="shared" si="0"/>
        <v/>
      </c>
      <c r="B15" s="77"/>
      <c r="C15" s="76" t="str">
        <f>IF($B15="","",$B15-Dashboard!$B$3+1)</f>
        <v/>
      </c>
      <c r="D15" s="78"/>
      <c r="E15" s="78"/>
      <c r="F15" s="78"/>
      <c r="G15" s="78"/>
      <c r="H15" s="79"/>
      <c r="I15" s="79"/>
      <c r="J15" s="78"/>
      <c r="K15" s="78"/>
      <c r="L15" s="78"/>
      <c r="M15" s="79"/>
      <c r="N15" s="78"/>
      <c r="O15" s="78"/>
      <c r="P15" s="78"/>
      <c r="Q15" s="76" t="str">
        <f t="shared" si="1"/>
        <v/>
      </c>
      <c r="R15" s="78"/>
    </row>
    <row r="16" spans="1:18" x14ac:dyDescent="0.3">
      <c r="A16" s="76" t="str">
        <f t="shared" si="0"/>
        <v/>
      </c>
      <c r="B16" s="77"/>
      <c r="C16" s="76" t="str">
        <f>IF($B16="","",$B16-Dashboard!$B$3+1)</f>
        <v/>
      </c>
      <c r="D16" s="78"/>
      <c r="E16" s="78"/>
      <c r="F16" s="78"/>
      <c r="G16" s="78"/>
      <c r="H16" s="79"/>
      <c r="I16" s="79"/>
      <c r="J16" s="78"/>
      <c r="K16" s="78"/>
      <c r="L16" s="78"/>
      <c r="M16" s="79"/>
      <c r="N16" s="78"/>
      <c r="O16" s="78"/>
      <c r="P16" s="78"/>
      <c r="Q16" s="76" t="str">
        <f t="shared" si="1"/>
        <v/>
      </c>
      <c r="R16" s="78"/>
    </row>
    <row r="17" spans="1:18" x14ac:dyDescent="0.3">
      <c r="A17" s="76" t="str">
        <f t="shared" si="0"/>
        <v/>
      </c>
      <c r="B17" s="77"/>
      <c r="C17" s="76" t="str">
        <f>IF($B17="","",$B17-Dashboard!$B$3+1)</f>
        <v/>
      </c>
      <c r="D17" s="78"/>
      <c r="E17" s="78"/>
      <c r="F17" s="78"/>
      <c r="G17" s="78"/>
      <c r="H17" s="79"/>
      <c r="I17" s="79"/>
      <c r="J17" s="78"/>
      <c r="K17" s="78"/>
      <c r="L17" s="78"/>
      <c r="M17" s="79"/>
      <c r="N17" s="78"/>
      <c r="O17" s="78"/>
      <c r="P17" s="78"/>
      <c r="Q17" s="76" t="str">
        <f t="shared" si="1"/>
        <v/>
      </c>
      <c r="R17" s="78"/>
    </row>
    <row r="18" spans="1:18" x14ac:dyDescent="0.3">
      <c r="A18" s="76" t="str">
        <f t="shared" si="0"/>
        <v/>
      </c>
      <c r="B18" s="77"/>
      <c r="C18" s="76" t="str">
        <f>IF($B18="","",$B18-Dashboard!$B$3+1)</f>
        <v/>
      </c>
      <c r="D18" s="78"/>
      <c r="E18" s="78"/>
      <c r="F18" s="78"/>
      <c r="G18" s="78"/>
      <c r="H18" s="79"/>
      <c r="I18" s="79"/>
      <c r="J18" s="78"/>
      <c r="K18" s="78"/>
      <c r="L18" s="78"/>
      <c r="M18" s="79"/>
      <c r="N18" s="78"/>
      <c r="O18" s="78"/>
      <c r="P18" s="78"/>
      <c r="Q18" s="76" t="str">
        <f t="shared" si="1"/>
        <v/>
      </c>
      <c r="R18" s="78"/>
    </row>
    <row r="19" spans="1:18" x14ac:dyDescent="0.3">
      <c r="A19" s="76" t="str">
        <f t="shared" si="0"/>
        <v/>
      </c>
      <c r="B19" s="77"/>
      <c r="C19" s="76" t="str">
        <f>IF($B19="","",$B19-Dashboard!$B$3+1)</f>
        <v/>
      </c>
      <c r="D19" s="78"/>
      <c r="E19" s="78"/>
      <c r="F19" s="78"/>
      <c r="G19" s="78"/>
      <c r="H19" s="79"/>
      <c r="I19" s="79"/>
      <c r="J19" s="78"/>
      <c r="K19" s="78"/>
      <c r="L19" s="78"/>
      <c r="M19" s="79"/>
      <c r="N19" s="78"/>
      <c r="O19" s="78"/>
      <c r="P19" s="78"/>
      <c r="Q19" s="76" t="str">
        <f t="shared" si="1"/>
        <v/>
      </c>
      <c r="R19" s="78"/>
    </row>
    <row r="20" spans="1:18" x14ac:dyDescent="0.3">
      <c r="A20" s="76" t="str">
        <f t="shared" si="0"/>
        <v/>
      </c>
      <c r="B20" s="77"/>
      <c r="C20" s="76" t="str">
        <f>IF($B20="","",$B20-Dashboard!$B$3+1)</f>
        <v/>
      </c>
      <c r="D20" s="78"/>
      <c r="E20" s="78"/>
      <c r="F20" s="78"/>
      <c r="G20" s="78"/>
      <c r="H20" s="79"/>
      <c r="I20" s="79"/>
      <c r="J20" s="78"/>
      <c r="K20" s="78"/>
      <c r="L20" s="78"/>
      <c r="M20" s="79"/>
      <c r="N20" s="78"/>
      <c r="O20" s="78"/>
      <c r="P20" s="78"/>
      <c r="Q20" s="76" t="str">
        <f t="shared" si="1"/>
        <v/>
      </c>
      <c r="R20" s="78"/>
    </row>
    <row r="21" spans="1:18" x14ac:dyDescent="0.3">
      <c r="A21" s="76" t="str">
        <f t="shared" si="0"/>
        <v/>
      </c>
      <c r="B21" s="77"/>
      <c r="C21" s="76" t="str">
        <f>IF($B21="","",$B21-Dashboard!$B$3+1)</f>
        <v/>
      </c>
      <c r="D21" s="78"/>
      <c r="E21" s="78"/>
      <c r="F21" s="78"/>
      <c r="G21" s="78"/>
      <c r="H21" s="79"/>
      <c r="I21" s="79"/>
      <c r="J21" s="78"/>
      <c r="K21" s="78"/>
      <c r="L21" s="78"/>
      <c r="M21" s="79"/>
      <c r="N21" s="78"/>
      <c r="O21" s="78"/>
      <c r="P21" s="78"/>
      <c r="Q21" s="76" t="str">
        <f t="shared" si="1"/>
        <v/>
      </c>
      <c r="R21" s="78"/>
    </row>
    <row r="22" spans="1:18" x14ac:dyDescent="0.3">
      <c r="A22" s="76" t="str">
        <f t="shared" si="0"/>
        <v/>
      </c>
      <c r="B22" s="77"/>
      <c r="C22" s="76" t="str">
        <f>IF($B22="","",$B22-Dashboard!$B$3+1)</f>
        <v/>
      </c>
      <c r="D22" s="78"/>
      <c r="E22" s="78"/>
      <c r="F22" s="78"/>
      <c r="G22" s="78"/>
      <c r="H22" s="79"/>
      <c r="I22" s="79"/>
      <c r="J22" s="78"/>
      <c r="K22" s="78"/>
      <c r="L22" s="78"/>
      <c r="M22" s="79"/>
      <c r="N22" s="78"/>
      <c r="O22" s="78"/>
      <c r="P22" s="78"/>
      <c r="Q22" s="76" t="str">
        <f t="shared" si="1"/>
        <v/>
      </c>
      <c r="R22" s="78"/>
    </row>
    <row r="23" spans="1:18" x14ac:dyDescent="0.3">
      <c r="A23" s="76" t="str">
        <f t="shared" si="0"/>
        <v/>
      </c>
      <c r="B23" s="77"/>
      <c r="C23" s="76" t="str">
        <f>IF($B23="","",$B23-Dashboard!$B$3+1)</f>
        <v/>
      </c>
      <c r="D23" s="78"/>
      <c r="E23" s="78"/>
      <c r="F23" s="78"/>
      <c r="G23" s="78"/>
      <c r="H23" s="79"/>
      <c r="I23" s="79"/>
      <c r="J23" s="78"/>
      <c r="K23" s="78"/>
      <c r="L23" s="78"/>
      <c r="M23" s="79"/>
      <c r="N23" s="78"/>
      <c r="O23" s="78"/>
      <c r="P23" s="78"/>
      <c r="Q23" s="76" t="str">
        <f t="shared" si="1"/>
        <v/>
      </c>
      <c r="R23" s="78"/>
    </row>
    <row r="24" spans="1:18" x14ac:dyDescent="0.3">
      <c r="A24" s="76" t="str">
        <f t="shared" si="0"/>
        <v/>
      </c>
      <c r="B24" s="77"/>
      <c r="C24" s="76" t="str">
        <f>IF($B24="","",$B24-Dashboard!$B$3+1)</f>
        <v/>
      </c>
      <c r="D24" s="78"/>
      <c r="E24" s="78"/>
      <c r="F24" s="78"/>
      <c r="G24" s="78"/>
      <c r="H24" s="79"/>
      <c r="I24" s="79"/>
      <c r="J24" s="78"/>
      <c r="K24" s="78"/>
      <c r="L24" s="78"/>
      <c r="M24" s="79"/>
      <c r="N24" s="78"/>
      <c r="O24" s="78"/>
      <c r="P24" s="78"/>
      <c r="Q24" s="76" t="str">
        <f t="shared" si="1"/>
        <v/>
      </c>
      <c r="R24" s="78"/>
    </row>
    <row r="25" spans="1:18" x14ac:dyDescent="0.3">
      <c r="A25" s="76" t="str">
        <f t="shared" si="0"/>
        <v/>
      </c>
      <c r="B25" s="77"/>
      <c r="C25" s="76" t="str">
        <f>IF($B25="","",$B25-Dashboard!$B$3+1)</f>
        <v/>
      </c>
      <c r="D25" s="78"/>
      <c r="E25" s="78"/>
      <c r="F25" s="78"/>
      <c r="G25" s="78"/>
      <c r="H25" s="79"/>
      <c r="I25" s="79"/>
      <c r="J25" s="78"/>
      <c r="K25" s="78"/>
      <c r="L25" s="78"/>
      <c r="M25" s="79"/>
      <c r="N25" s="78"/>
      <c r="O25" s="78"/>
      <c r="P25" s="78"/>
      <c r="Q25" s="76" t="str">
        <f t="shared" si="1"/>
        <v/>
      </c>
      <c r="R25" s="78"/>
    </row>
    <row r="26" spans="1:18" x14ac:dyDescent="0.3">
      <c r="A26" s="76" t="str">
        <f t="shared" si="0"/>
        <v/>
      </c>
      <c r="B26" s="77"/>
      <c r="C26" s="76" t="str">
        <f>IF($B26="","",$B26-Dashboard!$B$3+1)</f>
        <v/>
      </c>
      <c r="D26" s="78"/>
      <c r="E26" s="78"/>
      <c r="F26" s="78"/>
      <c r="G26" s="78"/>
      <c r="H26" s="79"/>
      <c r="I26" s="79"/>
      <c r="J26" s="78"/>
      <c r="K26" s="78"/>
      <c r="L26" s="78"/>
      <c r="M26" s="79"/>
      <c r="N26" s="78"/>
      <c r="O26" s="78"/>
      <c r="P26" s="78"/>
      <c r="Q26" s="76" t="str">
        <f t="shared" si="1"/>
        <v/>
      </c>
      <c r="R26" s="78"/>
    </row>
    <row r="27" spans="1:18" x14ac:dyDescent="0.3">
      <c r="A27" s="76" t="str">
        <f t="shared" si="0"/>
        <v/>
      </c>
      <c r="B27" s="77"/>
      <c r="C27" s="76" t="str">
        <f>IF($B27="","",$B27-Dashboard!$B$3+1)</f>
        <v/>
      </c>
      <c r="D27" s="78"/>
      <c r="E27" s="78"/>
      <c r="F27" s="78"/>
      <c r="G27" s="78"/>
      <c r="H27" s="79"/>
      <c r="I27" s="79"/>
      <c r="J27" s="78"/>
      <c r="K27" s="78"/>
      <c r="L27" s="78"/>
      <c r="M27" s="79"/>
      <c r="N27" s="78"/>
      <c r="O27" s="78"/>
      <c r="P27" s="78"/>
      <c r="Q27" s="76" t="str">
        <f t="shared" si="1"/>
        <v/>
      </c>
      <c r="R27" s="78"/>
    </row>
    <row r="28" spans="1:18" x14ac:dyDescent="0.3">
      <c r="A28" s="76" t="str">
        <f t="shared" si="0"/>
        <v/>
      </c>
      <c r="B28" s="77"/>
      <c r="C28" s="76" t="str">
        <f>IF($B28="","",$B28-Dashboard!$B$3+1)</f>
        <v/>
      </c>
      <c r="D28" s="78"/>
      <c r="E28" s="78"/>
      <c r="F28" s="78"/>
      <c r="G28" s="78"/>
      <c r="H28" s="79"/>
      <c r="I28" s="79"/>
      <c r="J28" s="78"/>
      <c r="K28" s="78"/>
      <c r="L28" s="78"/>
      <c r="M28" s="79"/>
      <c r="N28" s="78"/>
      <c r="O28" s="78"/>
      <c r="P28" s="78"/>
      <c r="Q28" s="76" t="str">
        <f t="shared" si="1"/>
        <v/>
      </c>
      <c r="R28" s="78"/>
    </row>
    <row r="29" spans="1:18" x14ac:dyDescent="0.3">
      <c r="A29" s="76" t="str">
        <f t="shared" si="0"/>
        <v/>
      </c>
      <c r="B29" s="77"/>
      <c r="C29" s="76" t="str">
        <f>IF($B29="","",$B29-Dashboard!$B$3+1)</f>
        <v/>
      </c>
      <c r="D29" s="78"/>
      <c r="E29" s="78"/>
      <c r="F29" s="78"/>
      <c r="G29" s="78"/>
      <c r="H29" s="79"/>
      <c r="I29" s="79"/>
      <c r="J29" s="78"/>
      <c r="K29" s="78"/>
      <c r="L29" s="78"/>
      <c r="M29" s="79"/>
      <c r="N29" s="78"/>
      <c r="O29" s="78"/>
      <c r="P29" s="78"/>
      <c r="Q29" s="76" t="str">
        <f t="shared" si="1"/>
        <v/>
      </c>
      <c r="R29" s="78"/>
    </row>
    <row r="30" spans="1:18" x14ac:dyDescent="0.3">
      <c r="A30" s="76" t="str">
        <f t="shared" si="0"/>
        <v/>
      </c>
      <c r="B30" s="77"/>
      <c r="C30" s="76" t="str">
        <f>IF($B30="","",$B30-Dashboard!$B$3+1)</f>
        <v/>
      </c>
      <c r="D30" s="78"/>
      <c r="E30" s="78"/>
      <c r="F30" s="78"/>
      <c r="G30" s="78"/>
      <c r="H30" s="79"/>
      <c r="I30" s="79"/>
      <c r="J30" s="78"/>
      <c r="K30" s="78"/>
      <c r="L30" s="78"/>
      <c r="M30" s="79"/>
      <c r="N30" s="78"/>
      <c r="O30" s="78"/>
      <c r="P30" s="78"/>
      <c r="Q30" s="76" t="str">
        <f t="shared" si="1"/>
        <v/>
      </c>
      <c r="R30" s="78"/>
    </row>
    <row r="31" spans="1:18" x14ac:dyDescent="0.3">
      <c r="A31" s="76" t="str">
        <f t="shared" si="0"/>
        <v/>
      </c>
      <c r="B31" s="77"/>
      <c r="C31" s="76" t="str">
        <f>IF($B31="","",$B31-Dashboard!$B$3+1)</f>
        <v/>
      </c>
      <c r="D31" s="78"/>
      <c r="E31" s="78"/>
      <c r="F31" s="78"/>
      <c r="G31" s="78"/>
      <c r="H31" s="79"/>
      <c r="I31" s="79"/>
      <c r="J31" s="78"/>
      <c r="K31" s="78"/>
      <c r="L31" s="78"/>
      <c r="M31" s="79"/>
      <c r="N31" s="78"/>
      <c r="O31" s="78"/>
      <c r="P31" s="78"/>
      <c r="Q31" s="76" t="str">
        <f t="shared" si="1"/>
        <v/>
      </c>
      <c r="R31" s="78"/>
    </row>
    <row r="32" spans="1:18" x14ac:dyDescent="0.3">
      <c r="A32" s="76" t="str">
        <f t="shared" si="0"/>
        <v/>
      </c>
      <c r="B32" s="77"/>
      <c r="C32" s="76" t="str">
        <f>IF($B32="","",$B32-Dashboard!$B$3+1)</f>
        <v/>
      </c>
      <c r="D32" s="78"/>
      <c r="E32" s="78"/>
      <c r="F32" s="78"/>
      <c r="G32" s="78"/>
      <c r="H32" s="79"/>
      <c r="I32" s="79"/>
      <c r="J32" s="78"/>
      <c r="K32" s="78"/>
      <c r="L32" s="78"/>
      <c r="M32" s="79"/>
      <c r="N32" s="78"/>
      <c r="O32" s="78"/>
      <c r="P32" s="78"/>
      <c r="Q32" s="76" t="str">
        <f t="shared" si="1"/>
        <v/>
      </c>
      <c r="R32" s="78"/>
    </row>
    <row r="33" spans="1:18" x14ac:dyDescent="0.3">
      <c r="A33" s="76" t="str">
        <f t="shared" si="0"/>
        <v/>
      </c>
      <c r="B33" s="77"/>
      <c r="C33" s="76" t="str">
        <f>IF($B33="","",$B33-Dashboard!$B$3+1)</f>
        <v/>
      </c>
      <c r="D33" s="78"/>
      <c r="E33" s="78"/>
      <c r="F33" s="78"/>
      <c r="G33" s="78"/>
      <c r="H33" s="79"/>
      <c r="I33" s="79"/>
      <c r="J33" s="78"/>
      <c r="K33" s="78"/>
      <c r="L33" s="78"/>
      <c r="M33" s="79"/>
      <c r="N33" s="78"/>
      <c r="O33" s="78"/>
      <c r="P33" s="78"/>
      <c r="Q33" s="76" t="str">
        <f t="shared" si="1"/>
        <v/>
      </c>
      <c r="R33" s="78"/>
    </row>
    <row r="34" spans="1:18" x14ac:dyDescent="0.3">
      <c r="A34" s="76" t="str">
        <f t="shared" si="0"/>
        <v/>
      </c>
      <c r="B34" s="77"/>
      <c r="C34" s="76" t="str">
        <f>IF($B34="","",$B34-Dashboard!$B$3+1)</f>
        <v/>
      </c>
      <c r="D34" s="78"/>
      <c r="E34" s="78"/>
      <c r="F34" s="78"/>
      <c r="G34" s="78"/>
      <c r="H34" s="79"/>
      <c r="I34" s="79"/>
      <c r="J34" s="78"/>
      <c r="K34" s="78"/>
      <c r="L34" s="78"/>
      <c r="M34" s="79"/>
      <c r="N34" s="78"/>
      <c r="O34" s="78"/>
      <c r="P34" s="78"/>
      <c r="Q34" s="76" t="str">
        <f t="shared" si="1"/>
        <v/>
      </c>
      <c r="R34" s="78"/>
    </row>
    <row r="35" spans="1:18" x14ac:dyDescent="0.3">
      <c r="A35" s="76" t="str">
        <f t="shared" si="0"/>
        <v/>
      </c>
      <c r="B35" s="77"/>
      <c r="C35" s="76" t="str">
        <f>IF($B35="","",$B35-Dashboard!$B$3+1)</f>
        <v/>
      </c>
      <c r="D35" s="78"/>
      <c r="E35" s="78"/>
      <c r="F35" s="78"/>
      <c r="G35" s="78"/>
      <c r="H35" s="79"/>
      <c r="I35" s="79"/>
      <c r="J35" s="78"/>
      <c r="K35" s="78"/>
      <c r="L35" s="78"/>
      <c r="M35" s="79"/>
      <c r="N35" s="78"/>
      <c r="O35" s="78"/>
      <c r="P35" s="78"/>
      <c r="Q35" s="76" t="str">
        <f t="shared" si="1"/>
        <v/>
      </c>
      <c r="R35" s="78"/>
    </row>
    <row r="36" spans="1:18" x14ac:dyDescent="0.3">
      <c r="A36" s="76" t="str">
        <f t="shared" si="0"/>
        <v/>
      </c>
      <c r="B36" s="77"/>
      <c r="C36" s="76" t="str">
        <f>IF($B36="","",$B36-Dashboard!$B$3+1)</f>
        <v/>
      </c>
      <c r="D36" s="78"/>
      <c r="E36" s="78"/>
      <c r="F36" s="78"/>
      <c r="G36" s="78"/>
      <c r="H36" s="79"/>
      <c r="I36" s="79"/>
      <c r="J36" s="78"/>
      <c r="K36" s="78"/>
      <c r="L36" s="78"/>
      <c r="M36" s="79"/>
      <c r="N36" s="78"/>
      <c r="O36" s="78"/>
      <c r="P36" s="78"/>
      <c r="Q36" s="76" t="str">
        <f t="shared" si="1"/>
        <v/>
      </c>
      <c r="R36" s="78"/>
    </row>
    <row r="37" spans="1:18" x14ac:dyDescent="0.3">
      <c r="A37" s="76" t="str">
        <f t="shared" si="0"/>
        <v/>
      </c>
      <c r="B37" s="77"/>
      <c r="C37" s="76" t="str">
        <f>IF($B37="","",$B37-Dashboard!$B$3+1)</f>
        <v/>
      </c>
      <c r="D37" s="78"/>
      <c r="E37" s="78"/>
      <c r="F37" s="78"/>
      <c r="G37" s="78"/>
      <c r="H37" s="79"/>
      <c r="I37" s="79"/>
      <c r="J37" s="78"/>
      <c r="K37" s="78"/>
      <c r="L37" s="78"/>
      <c r="M37" s="79"/>
      <c r="N37" s="78"/>
      <c r="O37" s="78"/>
      <c r="P37" s="78"/>
      <c r="Q37" s="76" t="str">
        <f t="shared" si="1"/>
        <v/>
      </c>
      <c r="R37" s="78"/>
    </row>
    <row r="38" spans="1:18" x14ac:dyDescent="0.3">
      <c r="A38" s="76" t="str">
        <f t="shared" si="0"/>
        <v/>
      </c>
      <c r="B38" s="77"/>
      <c r="C38" s="76" t="str">
        <f>IF($B38="","",$B38-Dashboard!$B$3+1)</f>
        <v/>
      </c>
      <c r="D38" s="78"/>
      <c r="E38" s="78"/>
      <c r="F38" s="78"/>
      <c r="G38" s="78"/>
      <c r="H38" s="79"/>
      <c r="I38" s="79"/>
      <c r="J38" s="78"/>
      <c r="K38" s="78"/>
      <c r="L38" s="78"/>
      <c r="M38" s="79"/>
      <c r="N38" s="78"/>
      <c r="O38" s="78"/>
      <c r="P38" s="78"/>
      <c r="Q38" s="76" t="str">
        <f t="shared" si="1"/>
        <v/>
      </c>
      <c r="R38" s="78"/>
    </row>
    <row r="39" spans="1:18" x14ac:dyDescent="0.3">
      <c r="A39" s="76" t="str">
        <f t="shared" ref="A39:A70" si="2">IF($B39="","",ROW()-4)</f>
        <v/>
      </c>
      <c r="B39" s="77"/>
      <c r="C39" s="76" t="str">
        <f>IF($B39="","",$B39-Dashboard!$B$3+1)</f>
        <v/>
      </c>
      <c r="D39" s="78"/>
      <c r="E39" s="78"/>
      <c r="F39" s="78"/>
      <c r="G39" s="78"/>
      <c r="H39" s="79"/>
      <c r="I39" s="79"/>
      <c r="J39" s="78"/>
      <c r="K39" s="78"/>
      <c r="L39" s="78"/>
      <c r="M39" s="79"/>
      <c r="N39" s="78"/>
      <c r="O39" s="78"/>
      <c r="P39" s="78"/>
      <c r="Q39" s="76" t="str">
        <f t="shared" ref="Q39:Q70" si="3">IF($B39="","",IFERROR($O39-$P39,0))</f>
        <v/>
      </c>
      <c r="R39" s="78"/>
    </row>
    <row r="40" spans="1:18" x14ac:dyDescent="0.3">
      <c r="A40" s="76" t="str">
        <f t="shared" si="2"/>
        <v/>
      </c>
      <c r="B40" s="77"/>
      <c r="C40" s="76" t="str">
        <f>IF($B40="","",$B40-Dashboard!$B$3+1)</f>
        <v/>
      </c>
      <c r="D40" s="78"/>
      <c r="E40" s="78"/>
      <c r="F40" s="78"/>
      <c r="G40" s="78"/>
      <c r="H40" s="79"/>
      <c r="I40" s="79"/>
      <c r="J40" s="78"/>
      <c r="K40" s="78"/>
      <c r="L40" s="78"/>
      <c r="M40" s="79"/>
      <c r="N40" s="78"/>
      <c r="O40" s="78"/>
      <c r="P40" s="78"/>
      <c r="Q40" s="76" t="str">
        <f t="shared" si="3"/>
        <v/>
      </c>
      <c r="R40" s="78"/>
    </row>
    <row r="41" spans="1:18" x14ac:dyDescent="0.3">
      <c r="A41" s="76" t="str">
        <f t="shared" si="2"/>
        <v/>
      </c>
      <c r="B41" s="77"/>
      <c r="C41" s="76" t="str">
        <f>IF($B41="","",$B41-Dashboard!$B$3+1)</f>
        <v/>
      </c>
      <c r="D41" s="78"/>
      <c r="E41" s="78"/>
      <c r="F41" s="78"/>
      <c r="G41" s="78"/>
      <c r="H41" s="79"/>
      <c r="I41" s="79"/>
      <c r="J41" s="78"/>
      <c r="K41" s="78"/>
      <c r="L41" s="78"/>
      <c r="M41" s="79"/>
      <c r="N41" s="78"/>
      <c r="O41" s="78"/>
      <c r="P41" s="78"/>
      <c r="Q41" s="76" t="str">
        <f t="shared" si="3"/>
        <v/>
      </c>
      <c r="R41" s="78"/>
    </row>
    <row r="42" spans="1:18" x14ac:dyDescent="0.3">
      <c r="A42" s="76" t="str">
        <f t="shared" si="2"/>
        <v/>
      </c>
      <c r="B42" s="77"/>
      <c r="C42" s="76" t="str">
        <f>IF($B42="","",$B42-Dashboard!$B$3+1)</f>
        <v/>
      </c>
      <c r="D42" s="78"/>
      <c r="E42" s="78"/>
      <c r="F42" s="78"/>
      <c r="G42" s="78"/>
      <c r="H42" s="79"/>
      <c r="I42" s="79"/>
      <c r="J42" s="78"/>
      <c r="K42" s="78"/>
      <c r="L42" s="78"/>
      <c r="M42" s="79"/>
      <c r="N42" s="78"/>
      <c r="O42" s="78"/>
      <c r="P42" s="78"/>
      <c r="Q42" s="76" t="str">
        <f t="shared" si="3"/>
        <v/>
      </c>
      <c r="R42" s="78"/>
    </row>
    <row r="43" spans="1:18" x14ac:dyDescent="0.3">
      <c r="A43" s="76" t="str">
        <f t="shared" si="2"/>
        <v/>
      </c>
      <c r="B43" s="77"/>
      <c r="C43" s="76" t="str">
        <f>IF($B43="","",$B43-Dashboard!$B$3+1)</f>
        <v/>
      </c>
      <c r="D43" s="78"/>
      <c r="E43" s="78"/>
      <c r="F43" s="78"/>
      <c r="G43" s="78"/>
      <c r="H43" s="79"/>
      <c r="I43" s="79"/>
      <c r="J43" s="78"/>
      <c r="K43" s="78"/>
      <c r="L43" s="78"/>
      <c r="M43" s="79"/>
      <c r="N43" s="78"/>
      <c r="O43" s="78"/>
      <c r="P43" s="78"/>
      <c r="Q43" s="76" t="str">
        <f t="shared" si="3"/>
        <v/>
      </c>
      <c r="R43" s="78"/>
    </row>
    <row r="44" spans="1:18" x14ac:dyDescent="0.3">
      <c r="A44" s="76" t="str">
        <f t="shared" si="2"/>
        <v/>
      </c>
      <c r="B44" s="77"/>
      <c r="C44" s="76" t="str">
        <f>IF($B44="","",$B44-Dashboard!$B$3+1)</f>
        <v/>
      </c>
      <c r="D44" s="78"/>
      <c r="E44" s="78"/>
      <c r="F44" s="78"/>
      <c r="G44" s="78"/>
      <c r="H44" s="79"/>
      <c r="I44" s="79"/>
      <c r="J44" s="78"/>
      <c r="K44" s="78"/>
      <c r="L44" s="78"/>
      <c r="M44" s="79"/>
      <c r="N44" s="78"/>
      <c r="O44" s="78"/>
      <c r="P44" s="78"/>
      <c r="Q44" s="76" t="str">
        <f t="shared" si="3"/>
        <v/>
      </c>
      <c r="R44" s="78"/>
    </row>
    <row r="45" spans="1:18" x14ac:dyDescent="0.3">
      <c r="A45" s="76" t="str">
        <f t="shared" si="2"/>
        <v/>
      </c>
      <c r="B45" s="77"/>
      <c r="C45" s="76" t="str">
        <f>IF($B45="","",$B45-Dashboard!$B$3+1)</f>
        <v/>
      </c>
      <c r="D45" s="78"/>
      <c r="E45" s="78"/>
      <c r="F45" s="78"/>
      <c r="G45" s="78"/>
      <c r="H45" s="79"/>
      <c r="I45" s="79"/>
      <c r="J45" s="78"/>
      <c r="K45" s="78"/>
      <c r="L45" s="78"/>
      <c r="M45" s="79"/>
      <c r="N45" s="78"/>
      <c r="O45" s="78"/>
      <c r="P45" s="78"/>
      <c r="Q45" s="76" t="str">
        <f t="shared" si="3"/>
        <v/>
      </c>
      <c r="R45" s="78"/>
    </row>
    <row r="46" spans="1:18" x14ac:dyDescent="0.3">
      <c r="A46" s="76" t="str">
        <f t="shared" si="2"/>
        <v/>
      </c>
      <c r="B46" s="77"/>
      <c r="C46" s="76" t="str">
        <f>IF($B46="","",$B46-Dashboard!$B$3+1)</f>
        <v/>
      </c>
      <c r="D46" s="78"/>
      <c r="E46" s="78"/>
      <c r="F46" s="78"/>
      <c r="G46" s="78"/>
      <c r="H46" s="79"/>
      <c r="I46" s="79"/>
      <c r="J46" s="78"/>
      <c r="K46" s="78"/>
      <c r="L46" s="78"/>
      <c r="M46" s="79"/>
      <c r="N46" s="78"/>
      <c r="O46" s="78"/>
      <c r="P46" s="78"/>
      <c r="Q46" s="76" t="str">
        <f t="shared" si="3"/>
        <v/>
      </c>
      <c r="R46" s="78"/>
    </row>
    <row r="47" spans="1:18" x14ac:dyDescent="0.3">
      <c r="A47" s="76" t="str">
        <f t="shared" si="2"/>
        <v/>
      </c>
      <c r="B47" s="77"/>
      <c r="C47" s="76" t="str">
        <f>IF($B47="","",$B47-Dashboard!$B$3+1)</f>
        <v/>
      </c>
      <c r="D47" s="78"/>
      <c r="E47" s="78"/>
      <c r="F47" s="78"/>
      <c r="G47" s="78"/>
      <c r="H47" s="79"/>
      <c r="I47" s="79"/>
      <c r="J47" s="78"/>
      <c r="K47" s="78"/>
      <c r="L47" s="78"/>
      <c r="M47" s="79"/>
      <c r="N47" s="78"/>
      <c r="O47" s="78"/>
      <c r="P47" s="78"/>
      <c r="Q47" s="76" t="str">
        <f t="shared" si="3"/>
        <v/>
      </c>
      <c r="R47" s="78"/>
    </row>
    <row r="48" spans="1:18" x14ac:dyDescent="0.3">
      <c r="A48" s="76" t="str">
        <f t="shared" si="2"/>
        <v/>
      </c>
      <c r="B48" s="77"/>
      <c r="C48" s="76" t="str">
        <f>IF($B48="","",$B48-Dashboard!$B$3+1)</f>
        <v/>
      </c>
      <c r="D48" s="78"/>
      <c r="E48" s="78"/>
      <c r="F48" s="78"/>
      <c r="G48" s="78"/>
      <c r="H48" s="79"/>
      <c r="I48" s="79"/>
      <c r="J48" s="78"/>
      <c r="K48" s="78"/>
      <c r="L48" s="78"/>
      <c r="M48" s="79"/>
      <c r="N48" s="78"/>
      <c r="O48" s="78"/>
      <c r="P48" s="78"/>
      <c r="Q48" s="76" t="str">
        <f t="shared" si="3"/>
        <v/>
      </c>
      <c r="R48" s="78"/>
    </row>
    <row r="49" spans="1:18" x14ac:dyDescent="0.3">
      <c r="A49" s="76" t="str">
        <f t="shared" si="2"/>
        <v/>
      </c>
      <c r="B49" s="77"/>
      <c r="C49" s="76" t="str">
        <f>IF($B49="","",$B49-Dashboard!$B$3+1)</f>
        <v/>
      </c>
      <c r="D49" s="78"/>
      <c r="E49" s="78"/>
      <c r="F49" s="78"/>
      <c r="G49" s="78"/>
      <c r="H49" s="79"/>
      <c r="I49" s="79"/>
      <c r="J49" s="78"/>
      <c r="K49" s="78"/>
      <c r="L49" s="78"/>
      <c r="M49" s="79"/>
      <c r="N49" s="78"/>
      <c r="O49" s="78"/>
      <c r="P49" s="78"/>
      <c r="Q49" s="76" t="str">
        <f t="shared" si="3"/>
        <v/>
      </c>
      <c r="R49" s="78"/>
    </row>
    <row r="50" spans="1:18" x14ac:dyDescent="0.3">
      <c r="A50" s="76" t="str">
        <f t="shared" si="2"/>
        <v/>
      </c>
      <c r="B50" s="77"/>
      <c r="C50" s="76" t="str">
        <f>IF($B50="","",$B50-Dashboard!$B$3+1)</f>
        <v/>
      </c>
      <c r="D50" s="78"/>
      <c r="E50" s="78"/>
      <c r="F50" s="78"/>
      <c r="G50" s="78"/>
      <c r="H50" s="79"/>
      <c r="I50" s="79"/>
      <c r="J50" s="78"/>
      <c r="K50" s="78"/>
      <c r="L50" s="78"/>
      <c r="M50" s="79"/>
      <c r="N50" s="78"/>
      <c r="O50" s="78"/>
      <c r="P50" s="78"/>
      <c r="Q50" s="76" t="str">
        <f t="shared" si="3"/>
        <v/>
      </c>
      <c r="R50" s="78"/>
    </row>
    <row r="51" spans="1:18" x14ac:dyDescent="0.3">
      <c r="A51" s="76" t="str">
        <f t="shared" si="2"/>
        <v/>
      </c>
      <c r="B51" s="77"/>
      <c r="C51" s="76" t="str">
        <f>IF($B51="","",$B51-Dashboard!$B$3+1)</f>
        <v/>
      </c>
      <c r="D51" s="78"/>
      <c r="E51" s="78"/>
      <c r="F51" s="78"/>
      <c r="G51" s="78"/>
      <c r="H51" s="79"/>
      <c r="I51" s="79"/>
      <c r="J51" s="78"/>
      <c r="K51" s="78"/>
      <c r="L51" s="78"/>
      <c r="M51" s="79"/>
      <c r="N51" s="78"/>
      <c r="O51" s="78"/>
      <c r="P51" s="78"/>
      <c r="Q51" s="76" t="str">
        <f t="shared" si="3"/>
        <v/>
      </c>
      <c r="R51" s="78"/>
    </row>
    <row r="52" spans="1:18" x14ac:dyDescent="0.3">
      <c r="A52" s="76" t="str">
        <f t="shared" si="2"/>
        <v/>
      </c>
      <c r="B52" s="77"/>
      <c r="C52" s="76" t="str">
        <f>IF($B52="","",$B52-Dashboard!$B$3+1)</f>
        <v/>
      </c>
      <c r="D52" s="78"/>
      <c r="E52" s="78"/>
      <c r="F52" s="78"/>
      <c r="G52" s="78"/>
      <c r="H52" s="79"/>
      <c r="I52" s="79"/>
      <c r="J52" s="78"/>
      <c r="K52" s="78"/>
      <c r="L52" s="78"/>
      <c r="M52" s="79"/>
      <c r="N52" s="78"/>
      <c r="O52" s="78"/>
      <c r="P52" s="78"/>
      <c r="Q52" s="76" t="str">
        <f t="shared" si="3"/>
        <v/>
      </c>
      <c r="R52" s="78"/>
    </row>
    <row r="53" spans="1:18" x14ac:dyDescent="0.3">
      <c r="A53" s="76" t="str">
        <f t="shared" si="2"/>
        <v/>
      </c>
      <c r="B53" s="77"/>
      <c r="C53" s="76" t="str">
        <f>IF($B53="","",$B53-Dashboard!$B$3+1)</f>
        <v/>
      </c>
      <c r="D53" s="78"/>
      <c r="E53" s="78"/>
      <c r="F53" s="78"/>
      <c r="G53" s="78"/>
      <c r="H53" s="79"/>
      <c r="I53" s="79"/>
      <c r="J53" s="78"/>
      <c r="K53" s="78"/>
      <c r="L53" s="78"/>
      <c r="M53" s="79"/>
      <c r="N53" s="78"/>
      <c r="O53" s="78"/>
      <c r="P53" s="78"/>
      <c r="Q53" s="76" t="str">
        <f t="shared" si="3"/>
        <v/>
      </c>
      <c r="R53" s="78"/>
    </row>
    <row r="54" spans="1:18" x14ac:dyDescent="0.3">
      <c r="A54" s="76" t="str">
        <f t="shared" si="2"/>
        <v/>
      </c>
      <c r="B54" s="77"/>
      <c r="C54" s="76" t="str">
        <f>IF($B54="","",$B54-Dashboard!$B$3+1)</f>
        <v/>
      </c>
      <c r="D54" s="78"/>
      <c r="E54" s="78"/>
      <c r="F54" s="78"/>
      <c r="G54" s="78"/>
      <c r="H54" s="79"/>
      <c r="I54" s="79"/>
      <c r="J54" s="78"/>
      <c r="K54" s="78"/>
      <c r="L54" s="78"/>
      <c r="M54" s="79"/>
      <c r="N54" s="78"/>
      <c r="O54" s="78"/>
      <c r="P54" s="78"/>
      <c r="Q54" s="76" t="str">
        <f t="shared" si="3"/>
        <v/>
      </c>
      <c r="R54" s="78"/>
    </row>
    <row r="55" spans="1:18" x14ac:dyDescent="0.3">
      <c r="A55" s="76" t="str">
        <f t="shared" si="2"/>
        <v/>
      </c>
      <c r="B55" s="77"/>
      <c r="C55" s="76" t="str">
        <f>IF($B55="","",$B55-Dashboard!$B$3+1)</f>
        <v/>
      </c>
      <c r="D55" s="78"/>
      <c r="E55" s="78"/>
      <c r="F55" s="78"/>
      <c r="G55" s="78"/>
      <c r="H55" s="79"/>
      <c r="I55" s="79"/>
      <c r="J55" s="78"/>
      <c r="K55" s="78"/>
      <c r="L55" s="78"/>
      <c r="M55" s="79"/>
      <c r="N55" s="78"/>
      <c r="O55" s="78"/>
      <c r="P55" s="78"/>
      <c r="Q55" s="76" t="str">
        <f t="shared" si="3"/>
        <v/>
      </c>
      <c r="R55" s="78"/>
    </row>
    <row r="56" spans="1:18" x14ac:dyDescent="0.3">
      <c r="A56" s="76" t="str">
        <f t="shared" si="2"/>
        <v/>
      </c>
      <c r="B56" s="77"/>
      <c r="C56" s="76" t="str">
        <f>IF($B56="","",$B56-Dashboard!$B$3+1)</f>
        <v/>
      </c>
      <c r="D56" s="78"/>
      <c r="E56" s="78"/>
      <c r="F56" s="78"/>
      <c r="G56" s="78"/>
      <c r="H56" s="79"/>
      <c r="I56" s="79"/>
      <c r="J56" s="78"/>
      <c r="K56" s="78"/>
      <c r="L56" s="78"/>
      <c r="M56" s="79"/>
      <c r="N56" s="78"/>
      <c r="O56" s="78"/>
      <c r="P56" s="78"/>
      <c r="Q56" s="76" t="str">
        <f t="shared" si="3"/>
        <v/>
      </c>
      <c r="R56" s="78"/>
    </row>
    <row r="57" spans="1:18" x14ac:dyDescent="0.3">
      <c r="A57" s="76" t="str">
        <f t="shared" si="2"/>
        <v/>
      </c>
      <c r="B57" s="77"/>
      <c r="C57" s="76" t="str">
        <f>IF($B57="","",$B57-Dashboard!$B$3+1)</f>
        <v/>
      </c>
      <c r="D57" s="78"/>
      <c r="E57" s="78"/>
      <c r="F57" s="78"/>
      <c r="G57" s="78"/>
      <c r="H57" s="79"/>
      <c r="I57" s="79"/>
      <c r="J57" s="78"/>
      <c r="K57" s="78"/>
      <c r="L57" s="78"/>
      <c r="M57" s="79"/>
      <c r="N57" s="78"/>
      <c r="O57" s="78"/>
      <c r="P57" s="78"/>
      <c r="Q57" s="76" t="str">
        <f t="shared" si="3"/>
        <v/>
      </c>
      <c r="R57" s="78"/>
    </row>
    <row r="58" spans="1:18" x14ac:dyDescent="0.3">
      <c r="A58" s="76" t="str">
        <f t="shared" si="2"/>
        <v/>
      </c>
      <c r="B58" s="77"/>
      <c r="C58" s="76" t="str">
        <f>IF($B58="","",$B58-Dashboard!$B$3+1)</f>
        <v/>
      </c>
      <c r="D58" s="78"/>
      <c r="E58" s="78"/>
      <c r="F58" s="78"/>
      <c r="G58" s="78"/>
      <c r="H58" s="79"/>
      <c r="I58" s="79"/>
      <c r="J58" s="78"/>
      <c r="K58" s="78"/>
      <c r="L58" s="78"/>
      <c r="M58" s="79"/>
      <c r="N58" s="78"/>
      <c r="O58" s="78"/>
      <c r="P58" s="78"/>
      <c r="Q58" s="76" t="str">
        <f t="shared" si="3"/>
        <v/>
      </c>
      <c r="R58" s="78"/>
    </row>
    <row r="59" spans="1:18" x14ac:dyDescent="0.3">
      <c r="A59" s="76" t="str">
        <f t="shared" si="2"/>
        <v/>
      </c>
      <c r="B59" s="77"/>
      <c r="C59" s="76" t="str">
        <f>IF($B59="","",$B59-Dashboard!$B$3+1)</f>
        <v/>
      </c>
      <c r="D59" s="78"/>
      <c r="E59" s="78"/>
      <c r="F59" s="78"/>
      <c r="G59" s="78"/>
      <c r="H59" s="79"/>
      <c r="I59" s="79"/>
      <c r="J59" s="78"/>
      <c r="K59" s="78"/>
      <c r="L59" s="78"/>
      <c r="M59" s="79"/>
      <c r="N59" s="78"/>
      <c r="O59" s="78"/>
      <c r="P59" s="78"/>
      <c r="Q59" s="76" t="str">
        <f t="shared" si="3"/>
        <v/>
      </c>
      <c r="R59" s="78"/>
    </row>
    <row r="60" spans="1:18" x14ac:dyDescent="0.3">
      <c r="A60" s="76" t="str">
        <f t="shared" si="2"/>
        <v/>
      </c>
      <c r="B60" s="77"/>
      <c r="C60" s="76" t="str">
        <f>IF($B60="","",$B60-Dashboard!$B$3+1)</f>
        <v/>
      </c>
      <c r="D60" s="78"/>
      <c r="E60" s="78"/>
      <c r="F60" s="78"/>
      <c r="G60" s="78"/>
      <c r="H60" s="79"/>
      <c r="I60" s="79"/>
      <c r="J60" s="78"/>
      <c r="K60" s="78"/>
      <c r="L60" s="78"/>
      <c r="M60" s="79"/>
      <c r="N60" s="78"/>
      <c r="O60" s="78"/>
      <c r="P60" s="78"/>
      <c r="Q60" s="76" t="str">
        <f t="shared" si="3"/>
        <v/>
      </c>
      <c r="R60" s="78"/>
    </row>
    <row r="61" spans="1:18" x14ac:dyDescent="0.3">
      <c r="A61" s="76" t="str">
        <f t="shared" si="2"/>
        <v/>
      </c>
      <c r="B61" s="77"/>
      <c r="C61" s="76" t="str">
        <f>IF($B61="","",$B61-Dashboard!$B$3+1)</f>
        <v/>
      </c>
      <c r="D61" s="78"/>
      <c r="E61" s="78"/>
      <c r="F61" s="78"/>
      <c r="G61" s="78"/>
      <c r="H61" s="79"/>
      <c r="I61" s="79"/>
      <c r="J61" s="78"/>
      <c r="K61" s="78"/>
      <c r="L61" s="78"/>
      <c r="M61" s="79"/>
      <c r="N61" s="78"/>
      <c r="O61" s="78"/>
      <c r="P61" s="78"/>
      <c r="Q61" s="76" t="str">
        <f t="shared" si="3"/>
        <v/>
      </c>
      <c r="R61" s="78"/>
    </row>
    <row r="62" spans="1:18" x14ac:dyDescent="0.3">
      <c r="A62" s="76" t="str">
        <f t="shared" si="2"/>
        <v/>
      </c>
      <c r="B62" s="77"/>
      <c r="C62" s="76" t="str">
        <f>IF($B62="","",$B62-Dashboard!$B$3+1)</f>
        <v/>
      </c>
      <c r="D62" s="78"/>
      <c r="E62" s="78"/>
      <c r="F62" s="78"/>
      <c r="G62" s="78"/>
      <c r="H62" s="79"/>
      <c r="I62" s="79"/>
      <c r="J62" s="78"/>
      <c r="K62" s="78"/>
      <c r="L62" s="78"/>
      <c r="M62" s="79"/>
      <c r="N62" s="78"/>
      <c r="O62" s="78"/>
      <c r="P62" s="78"/>
      <c r="Q62" s="76" t="str">
        <f t="shared" si="3"/>
        <v/>
      </c>
      <c r="R62" s="78"/>
    </row>
    <row r="63" spans="1:18" x14ac:dyDescent="0.3">
      <c r="A63" s="76" t="str">
        <f t="shared" si="2"/>
        <v/>
      </c>
      <c r="B63" s="77"/>
      <c r="C63" s="76" t="str">
        <f>IF($B63="","",$B63-Dashboard!$B$3+1)</f>
        <v/>
      </c>
      <c r="D63" s="78"/>
      <c r="E63" s="78"/>
      <c r="F63" s="78"/>
      <c r="G63" s="78"/>
      <c r="H63" s="79"/>
      <c r="I63" s="79"/>
      <c r="J63" s="78"/>
      <c r="K63" s="78"/>
      <c r="L63" s="78"/>
      <c r="M63" s="79"/>
      <c r="N63" s="78"/>
      <c r="O63" s="78"/>
      <c r="P63" s="78"/>
      <c r="Q63" s="76" t="str">
        <f t="shared" si="3"/>
        <v/>
      </c>
      <c r="R63" s="78"/>
    </row>
    <row r="64" spans="1:18" x14ac:dyDescent="0.3">
      <c r="A64" s="76" t="str">
        <f t="shared" si="2"/>
        <v/>
      </c>
      <c r="B64" s="77"/>
      <c r="C64" s="76" t="str">
        <f>IF($B64="","",$B64-Dashboard!$B$3+1)</f>
        <v/>
      </c>
      <c r="D64" s="78"/>
      <c r="E64" s="78"/>
      <c r="F64" s="78"/>
      <c r="G64" s="78"/>
      <c r="H64" s="79"/>
      <c r="I64" s="79"/>
      <c r="J64" s="78"/>
      <c r="K64" s="78"/>
      <c r="L64" s="78"/>
      <c r="M64" s="79"/>
      <c r="N64" s="78"/>
      <c r="O64" s="78"/>
      <c r="P64" s="78"/>
      <c r="Q64" s="76" t="str">
        <f t="shared" si="3"/>
        <v/>
      </c>
      <c r="R64" s="78"/>
    </row>
    <row r="65" spans="1:18" x14ac:dyDescent="0.3">
      <c r="A65" s="76" t="str">
        <f t="shared" si="2"/>
        <v/>
      </c>
      <c r="B65" s="77"/>
      <c r="C65" s="76" t="str">
        <f>IF($B65="","",$B65-Dashboard!$B$3+1)</f>
        <v/>
      </c>
      <c r="D65" s="78"/>
      <c r="E65" s="78"/>
      <c r="F65" s="78"/>
      <c r="G65" s="78"/>
      <c r="H65" s="79"/>
      <c r="I65" s="79"/>
      <c r="J65" s="78"/>
      <c r="K65" s="78"/>
      <c r="L65" s="78"/>
      <c r="M65" s="79"/>
      <c r="N65" s="78"/>
      <c r="O65" s="78"/>
      <c r="P65" s="78"/>
      <c r="Q65" s="76" t="str">
        <f t="shared" si="3"/>
        <v/>
      </c>
      <c r="R65" s="78"/>
    </row>
    <row r="66" spans="1:18" x14ac:dyDescent="0.3">
      <c r="A66" s="76" t="str">
        <f t="shared" si="2"/>
        <v/>
      </c>
      <c r="B66" s="77"/>
      <c r="C66" s="76" t="str">
        <f>IF($B66="","",$B66-Dashboard!$B$3+1)</f>
        <v/>
      </c>
      <c r="D66" s="78"/>
      <c r="E66" s="78"/>
      <c r="F66" s="78"/>
      <c r="G66" s="78"/>
      <c r="H66" s="79"/>
      <c r="I66" s="79"/>
      <c r="J66" s="78"/>
      <c r="K66" s="78"/>
      <c r="L66" s="78"/>
      <c r="M66" s="79"/>
      <c r="N66" s="78"/>
      <c r="O66" s="78"/>
      <c r="P66" s="78"/>
      <c r="Q66" s="76" t="str">
        <f t="shared" si="3"/>
        <v/>
      </c>
      <c r="R66" s="78"/>
    </row>
    <row r="67" spans="1:18" x14ac:dyDescent="0.3">
      <c r="A67" s="76" t="str">
        <f t="shared" si="2"/>
        <v/>
      </c>
      <c r="B67" s="77"/>
      <c r="C67" s="76" t="str">
        <f>IF($B67="","",$B67-Dashboard!$B$3+1)</f>
        <v/>
      </c>
      <c r="D67" s="78"/>
      <c r="E67" s="78"/>
      <c r="F67" s="78"/>
      <c r="G67" s="78"/>
      <c r="H67" s="79"/>
      <c r="I67" s="79"/>
      <c r="J67" s="78"/>
      <c r="K67" s="78"/>
      <c r="L67" s="78"/>
      <c r="M67" s="79"/>
      <c r="N67" s="78"/>
      <c r="O67" s="78"/>
      <c r="P67" s="78"/>
      <c r="Q67" s="76" t="str">
        <f t="shared" si="3"/>
        <v/>
      </c>
      <c r="R67" s="78"/>
    </row>
    <row r="68" spans="1:18" x14ac:dyDescent="0.3">
      <c r="A68" s="76" t="str">
        <f t="shared" si="2"/>
        <v/>
      </c>
      <c r="B68" s="77"/>
      <c r="C68" s="76" t="str">
        <f>IF($B68="","",$B68-Dashboard!$B$3+1)</f>
        <v/>
      </c>
      <c r="D68" s="78"/>
      <c r="E68" s="78"/>
      <c r="F68" s="78"/>
      <c r="G68" s="78"/>
      <c r="H68" s="79"/>
      <c r="I68" s="79"/>
      <c r="J68" s="78"/>
      <c r="K68" s="78"/>
      <c r="L68" s="78"/>
      <c r="M68" s="79"/>
      <c r="N68" s="78"/>
      <c r="O68" s="78"/>
      <c r="P68" s="78"/>
      <c r="Q68" s="76" t="str">
        <f t="shared" si="3"/>
        <v/>
      </c>
      <c r="R68" s="78"/>
    </row>
    <row r="69" spans="1:18" x14ac:dyDescent="0.3">
      <c r="A69" s="76" t="str">
        <f t="shared" si="2"/>
        <v/>
      </c>
      <c r="B69" s="77"/>
      <c r="C69" s="76" t="str">
        <f>IF($B69="","",$B69-Dashboard!$B$3+1)</f>
        <v/>
      </c>
      <c r="D69" s="78"/>
      <c r="E69" s="78"/>
      <c r="F69" s="78"/>
      <c r="G69" s="78"/>
      <c r="H69" s="79"/>
      <c r="I69" s="79"/>
      <c r="J69" s="78"/>
      <c r="K69" s="78"/>
      <c r="L69" s="78"/>
      <c r="M69" s="79"/>
      <c r="N69" s="78"/>
      <c r="O69" s="78"/>
      <c r="P69" s="78"/>
      <c r="Q69" s="76" t="str">
        <f t="shared" si="3"/>
        <v/>
      </c>
      <c r="R69" s="78"/>
    </row>
    <row r="70" spans="1:18" x14ac:dyDescent="0.3">
      <c r="A70" s="76" t="str">
        <f t="shared" si="2"/>
        <v/>
      </c>
      <c r="B70" s="77"/>
      <c r="C70" s="76" t="str">
        <f>IF($B70="","",$B70-Dashboard!$B$3+1)</f>
        <v/>
      </c>
      <c r="D70" s="78"/>
      <c r="E70" s="78"/>
      <c r="F70" s="78"/>
      <c r="G70" s="78"/>
      <c r="H70" s="79"/>
      <c r="I70" s="79"/>
      <c r="J70" s="78"/>
      <c r="K70" s="78"/>
      <c r="L70" s="78"/>
      <c r="M70" s="79"/>
      <c r="N70" s="78"/>
      <c r="O70" s="78"/>
      <c r="P70" s="78"/>
      <c r="Q70" s="76" t="str">
        <f t="shared" si="3"/>
        <v/>
      </c>
      <c r="R70" s="78"/>
    </row>
    <row r="71" spans="1:18" x14ac:dyDescent="0.3">
      <c r="A71" s="76" t="str">
        <f t="shared" ref="A71:A102" si="4">IF($B71="","",ROW()-4)</f>
        <v/>
      </c>
      <c r="B71" s="77"/>
      <c r="C71" s="76" t="str">
        <f>IF($B71="","",$B71-Dashboard!$B$3+1)</f>
        <v/>
      </c>
      <c r="D71" s="78"/>
      <c r="E71" s="78"/>
      <c r="F71" s="78"/>
      <c r="G71" s="78"/>
      <c r="H71" s="79"/>
      <c r="I71" s="79"/>
      <c r="J71" s="78"/>
      <c r="K71" s="78"/>
      <c r="L71" s="78"/>
      <c r="M71" s="79"/>
      <c r="N71" s="78"/>
      <c r="O71" s="78"/>
      <c r="P71" s="78"/>
      <c r="Q71" s="76" t="str">
        <f t="shared" ref="Q71:Q102" si="5">IF($B71="","",IFERROR($O71-$P71,0))</f>
        <v/>
      </c>
      <c r="R71" s="78"/>
    </row>
    <row r="72" spans="1:18" x14ac:dyDescent="0.3">
      <c r="A72" s="76" t="str">
        <f t="shared" si="4"/>
        <v/>
      </c>
      <c r="B72" s="77"/>
      <c r="C72" s="76" t="str">
        <f>IF($B72="","",$B72-Dashboard!$B$3+1)</f>
        <v/>
      </c>
      <c r="D72" s="78"/>
      <c r="E72" s="78"/>
      <c r="F72" s="78"/>
      <c r="G72" s="78"/>
      <c r="H72" s="79"/>
      <c r="I72" s="79"/>
      <c r="J72" s="78"/>
      <c r="K72" s="78"/>
      <c r="L72" s="78"/>
      <c r="M72" s="79"/>
      <c r="N72" s="78"/>
      <c r="O72" s="78"/>
      <c r="P72" s="78"/>
      <c r="Q72" s="76" t="str">
        <f t="shared" si="5"/>
        <v/>
      </c>
      <c r="R72" s="78"/>
    </row>
    <row r="73" spans="1:18" x14ac:dyDescent="0.3">
      <c r="A73" s="76" t="str">
        <f t="shared" si="4"/>
        <v/>
      </c>
      <c r="B73" s="77"/>
      <c r="C73" s="76" t="str">
        <f>IF($B73="","",$B73-Dashboard!$B$3+1)</f>
        <v/>
      </c>
      <c r="D73" s="78"/>
      <c r="E73" s="78"/>
      <c r="F73" s="78"/>
      <c r="G73" s="78"/>
      <c r="H73" s="79"/>
      <c r="I73" s="79"/>
      <c r="J73" s="78"/>
      <c r="K73" s="78"/>
      <c r="L73" s="78"/>
      <c r="M73" s="79"/>
      <c r="N73" s="78"/>
      <c r="O73" s="78"/>
      <c r="P73" s="78"/>
      <c r="Q73" s="76" t="str">
        <f t="shared" si="5"/>
        <v/>
      </c>
      <c r="R73" s="78"/>
    </row>
    <row r="74" spans="1:18" x14ac:dyDescent="0.3">
      <c r="A74" s="76" t="str">
        <f t="shared" si="4"/>
        <v/>
      </c>
      <c r="B74" s="77"/>
      <c r="C74" s="76" t="str">
        <f>IF($B74="","",$B74-Dashboard!$B$3+1)</f>
        <v/>
      </c>
      <c r="D74" s="78"/>
      <c r="E74" s="78"/>
      <c r="F74" s="78"/>
      <c r="G74" s="78"/>
      <c r="H74" s="79"/>
      <c r="I74" s="79"/>
      <c r="J74" s="78"/>
      <c r="K74" s="78"/>
      <c r="L74" s="78"/>
      <c r="M74" s="79"/>
      <c r="N74" s="78"/>
      <c r="O74" s="78"/>
      <c r="P74" s="78"/>
      <c r="Q74" s="76" t="str">
        <f t="shared" si="5"/>
        <v/>
      </c>
      <c r="R74" s="78"/>
    </row>
    <row r="75" spans="1:18" x14ac:dyDescent="0.3">
      <c r="A75" s="76" t="str">
        <f t="shared" si="4"/>
        <v/>
      </c>
      <c r="B75" s="77"/>
      <c r="C75" s="76" t="str">
        <f>IF($B75="","",$B75-Dashboard!$B$3+1)</f>
        <v/>
      </c>
      <c r="D75" s="78"/>
      <c r="E75" s="78"/>
      <c r="F75" s="78"/>
      <c r="G75" s="78"/>
      <c r="H75" s="79"/>
      <c r="I75" s="79"/>
      <c r="J75" s="78"/>
      <c r="K75" s="78"/>
      <c r="L75" s="78"/>
      <c r="M75" s="79"/>
      <c r="N75" s="78"/>
      <c r="O75" s="78"/>
      <c r="P75" s="78"/>
      <c r="Q75" s="76" t="str">
        <f t="shared" si="5"/>
        <v/>
      </c>
      <c r="R75" s="78"/>
    </row>
    <row r="76" spans="1:18" x14ac:dyDescent="0.3">
      <c r="A76" s="76" t="str">
        <f t="shared" si="4"/>
        <v/>
      </c>
      <c r="B76" s="77"/>
      <c r="C76" s="76" t="str">
        <f>IF($B76="","",$B76-Dashboard!$B$3+1)</f>
        <v/>
      </c>
      <c r="D76" s="78"/>
      <c r="E76" s="78"/>
      <c r="F76" s="78"/>
      <c r="G76" s="78"/>
      <c r="H76" s="79"/>
      <c r="I76" s="79"/>
      <c r="J76" s="78"/>
      <c r="K76" s="78"/>
      <c r="L76" s="78"/>
      <c r="M76" s="79"/>
      <c r="N76" s="78"/>
      <c r="O76" s="78"/>
      <c r="P76" s="78"/>
      <c r="Q76" s="76" t="str">
        <f t="shared" si="5"/>
        <v/>
      </c>
      <c r="R76" s="78"/>
    </row>
    <row r="77" spans="1:18" x14ac:dyDescent="0.3">
      <c r="A77" s="76" t="str">
        <f t="shared" si="4"/>
        <v/>
      </c>
      <c r="B77" s="77"/>
      <c r="C77" s="76" t="str">
        <f>IF($B77="","",$B77-Dashboard!$B$3+1)</f>
        <v/>
      </c>
      <c r="D77" s="78"/>
      <c r="E77" s="78"/>
      <c r="F77" s="78"/>
      <c r="G77" s="78"/>
      <c r="H77" s="79"/>
      <c r="I77" s="79"/>
      <c r="J77" s="78"/>
      <c r="K77" s="78"/>
      <c r="L77" s="78"/>
      <c r="M77" s="79"/>
      <c r="N77" s="78"/>
      <c r="O77" s="78"/>
      <c r="P77" s="78"/>
      <c r="Q77" s="76" t="str">
        <f t="shared" si="5"/>
        <v/>
      </c>
      <c r="R77" s="78"/>
    </row>
    <row r="78" spans="1:18" x14ac:dyDescent="0.3">
      <c r="A78" s="76" t="str">
        <f t="shared" si="4"/>
        <v/>
      </c>
      <c r="B78" s="77"/>
      <c r="C78" s="76" t="str">
        <f>IF($B78="","",$B78-Dashboard!$B$3+1)</f>
        <v/>
      </c>
      <c r="D78" s="78"/>
      <c r="E78" s="78"/>
      <c r="F78" s="78"/>
      <c r="G78" s="78"/>
      <c r="H78" s="79"/>
      <c r="I78" s="79"/>
      <c r="J78" s="78"/>
      <c r="K78" s="78"/>
      <c r="L78" s="78"/>
      <c r="M78" s="79"/>
      <c r="N78" s="78"/>
      <c r="O78" s="78"/>
      <c r="P78" s="78"/>
      <c r="Q78" s="76" t="str">
        <f t="shared" si="5"/>
        <v/>
      </c>
      <c r="R78" s="78"/>
    </row>
    <row r="79" spans="1:18" x14ac:dyDescent="0.3">
      <c r="A79" s="76" t="str">
        <f t="shared" si="4"/>
        <v/>
      </c>
      <c r="B79" s="77"/>
      <c r="C79" s="76" t="str">
        <f>IF($B79="","",$B79-Dashboard!$B$3+1)</f>
        <v/>
      </c>
      <c r="D79" s="78"/>
      <c r="E79" s="78"/>
      <c r="F79" s="78"/>
      <c r="G79" s="78"/>
      <c r="H79" s="79"/>
      <c r="I79" s="79"/>
      <c r="J79" s="78"/>
      <c r="K79" s="78"/>
      <c r="L79" s="78"/>
      <c r="M79" s="79"/>
      <c r="N79" s="78"/>
      <c r="O79" s="78"/>
      <c r="P79" s="78"/>
      <c r="Q79" s="76" t="str">
        <f t="shared" si="5"/>
        <v/>
      </c>
      <c r="R79" s="78"/>
    </row>
    <row r="80" spans="1:18" x14ac:dyDescent="0.3">
      <c r="A80" s="76" t="str">
        <f t="shared" si="4"/>
        <v/>
      </c>
      <c r="B80" s="77"/>
      <c r="C80" s="76" t="str">
        <f>IF($B80="","",$B80-Dashboard!$B$3+1)</f>
        <v/>
      </c>
      <c r="D80" s="78"/>
      <c r="E80" s="78"/>
      <c r="F80" s="78"/>
      <c r="G80" s="78"/>
      <c r="H80" s="79"/>
      <c r="I80" s="79"/>
      <c r="J80" s="78"/>
      <c r="K80" s="78"/>
      <c r="L80" s="78"/>
      <c r="M80" s="79"/>
      <c r="N80" s="78"/>
      <c r="O80" s="78"/>
      <c r="P80" s="78"/>
      <c r="Q80" s="76" t="str">
        <f t="shared" si="5"/>
        <v/>
      </c>
      <c r="R80" s="78"/>
    </row>
    <row r="81" spans="1:18" x14ac:dyDescent="0.3">
      <c r="A81" s="76" t="str">
        <f t="shared" si="4"/>
        <v/>
      </c>
      <c r="B81" s="77"/>
      <c r="C81" s="76" t="str">
        <f>IF($B81="","",$B81-Dashboard!$B$3+1)</f>
        <v/>
      </c>
      <c r="D81" s="78"/>
      <c r="E81" s="78"/>
      <c r="F81" s="78"/>
      <c r="G81" s="78"/>
      <c r="H81" s="79"/>
      <c r="I81" s="79"/>
      <c r="J81" s="78"/>
      <c r="K81" s="78"/>
      <c r="L81" s="78"/>
      <c r="M81" s="79"/>
      <c r="N81" s="78"/>
      <c r="O81" s="78"/>
      <c r="P81" s="78"/>
      <c r="Q81" s="76" t="str">
        <f t="shared" si="5"/>
        <v/>
      </c>
      <c r="R81" s="78"/>
    </row>
    <row r="82" spans="1:18" x14ac:dyDescent="0.3">
      <c r="A82" s="76" t="str">
        <f t="shared" si="4"/>
        <v/>
      </c>
      <c r="B82" s="77"/>
      <c r="C82" s="76" t="str">
        <f>IF($B82="","",$B82-Dashboard!$B$3+1)</f>
        <v/>
      </c>
      <c r="D82" s="78"/>
      <c r="E82" s="78"/>
      <c r="F82" s="78"/>
      <c r="G82" s="78"/>
      <c r="H82" s="79"/>
      <c r="I82" s="79"/>
      <c r="J82" s="78"/>
      <c r="K82" s="78"/>
      <c r="L82" s="78"/>
      <c r="M82" s="79"/>
      <c r="N82" s="78"/>
      <c r="O82" s="78"/>
      <c r="P82" s="78"/>
      <c r="Q82" s="76" t="str">
        <f t="shared" si="5"/>
        <v/>
      </c>
      <c r="R82" s="78"/>
    </row>
    <row r="83" spans="1:18" x14ac:dyDescent="0.3">
      <c r="A83" s="76" t="str">
        <f t="shared" si="4"/>
        <v/>
      </c>
      <c r="B83" s="77"/>
      <c r="C83" s="76" t="str">
        <f>IF($B83="","",$B83-Dashboard!$B$3+1)</f>
        <v/>
      </c>
      <c r="D83" s="78"/>
      <c r="E83" s="78"/>
      <c r="F83" s="78"/>
      <c r="G83" s="78"/>
      <c r="H83" s="79"/>
      <c r="I83" s="79"/>
      <c r="J83" s="78"/>
      <c r="K83" s="78"/>
      <c r="L83" s="78"/>
      <c r="M83" s="79"/>
      <c r="N83" s="78"/>
      <c r="O83" s="78"/>
      <c r="P83" s="78"/>
      <c r="Q83" s="76" t="str">
        <f t="shared" si="5"/>
        <v/>
      </c>
      <c r="R83" s="78"/>
    </row>
    <row r="84" spans="1:18" x14ac:dyDescent="0.3">
      <c r="A84" s="76" t="str">
        <f t="shared" si="4"/>
        <v/>
      </c>
      <c r="B84" s="77"/>
      <c r="C84" s="76" t="str">
        <f>IF($B84="","",$B84-Dashboard!$B$3+1)</f>
        <v/>
      </c>
      <c r="D84" s="78"/>
      <c r="E84" s="78"/>
      <c r="F84" s="78"/>
      <c r="G84" s="78"/>
      <c r="H84" s="79"/>
      <c r="I84" s="79"/>
      <c r="J84" s="78"/>
      <c r="K84" s="78"/>
      <c r="L84" s="78"/>
      <c r="M84" s="79"/>
      <c r="N84" s="78"/>
      <c r="O84" s="78"/>
      <c r="P84" s="78"/>
      <c r="Q84" s="76" t="str">
        <f t="shared" si="5"/>
        <v/>
      </c>
      <c r="R84" s="78"/>
    </row>
    <row r="85" spans="1:18" x14ac:dyDescent="0.3">
      <c r="A85" s="76" t="str">
        <f t="shared" si="4"/>
        <v/>
      </c>
      <c r="B85" s="77"/>
      <c r="C85" s="76" t="str">
        <f>IF($B85="","",$B85-Dashboard!$B$3+1)</f>
        <v/>
      </c>
      <c r="D85" s="78"/>
      <c r="E85" s="78"/>
      <c r="F85" s="78"/>
      <c r="G85" s="78"/>
      <c r="H85" s="79"/>
      <c r="I85" s="79"/>
      <c r="J85" s="78"/>
      <c r="K85" s="78"/>
      <c r="L85" s="78"/>
      <c r="M85" s="79"/>
      <c r="N85" s="78"/>
      <c r="O85" s="78"/>
      <c r="P85" s="78"/>
      <c r="Q85" s="76" t="str">
        <f t="shared" si="5"/>
        <v/>
      </c>
      <c r="R85" s="78"/>
    </row>
    <row r="86" spans="1:18" x14ac:dyDescent="0.3">
      <c r="A86" s="76" t="str">
        <f t="shared" si="4"/>
        <v/>
      </c>
      <c r="B86" s="77"/>
      <c r="C86" s="76" t="str">
        <f>IF($B86="","",$B86-Dashboard!$B$3+1)</f>
        <v/>
      </c>
      <c r="D86" s="78"/>
      <c r="E86" s="78"/>
      <c r="F86" s="78"/>
      <c r="G86" s="78"/>
      <c r="H86" s="79"/>
      <c r="I86" s="79"/>
      <c r="J86" s="78"/>
      <c r="K86" s="78"/>
      <c r="L86" s="78"/>
      <c r="M86" s="79"/>
      <c r="N86" s="78"/>
      <c r="O86" s="78"/>
      <c r="P86" s="78"/>
      <c r="Q86" s="76" t="str">
        <f t="shared" si="5"/>
        <v/>
      </c>
      <c r="R86" s="78"/>
    </row>
    <row r="87" spans="1:18" x14ac:dyDescent="0.3">
      <c r="A87" s="76" t="str">
        <f t="shared" si="4"/>
        <v/>
      </c>
      <c r="B87" s="77"/>
      <c r="C87" s="76" t="str">
        <f>IF($B87="","",$B87-Dashboard!$B$3+1)</f>
        <v/>
      </c>
      <c r="D87" s="78"/>
      <c r="E87" s="78"/>
      <c r="F87" s="78"/>
      <c r="G87" s="78"/>
      <c r="H87" s="79"/>
      <c r="I87" s="79"/>
      <c r="J87" s="78"/>
      <c r="K87" s="78"/>
      <c r="L87" s="78"/>
      <c r="M87" s="79"/>
      <c r="N87" s="78"/>
      <c r="O87" s="78"/>
      <c r="P87" s="78"/>
      <c r="Q87" s="76" t="str">
        <f t="shared" si="5"/>
        <v/>
      </c>
      <c r="R87" s="78"/>
    </row>
    <row r="88" spans="1:18" x14ac:dyDescent="0.3">
      <c r="A88" s="76" t="str">
        <f t="shared" si="4"/>
        <v/>
      </c>
      <c r="B88" s="77"/>
      <c r="C88" s="76" t="str">
        <f>IF($B88="","",$B88-Dashboard!$B$3+1)</f>
        <v/>
      </c>
      <c r="D88" s="78"/>
      <c r="E88" s="78"/>
      <c r="F88" s="78"/>
      <c r="G88" s="78"/>
      <c r="H88" s="79"/>
      <c r="I88" s="79"/>
      <c r="J88" s="78"/>
      <c r="K88" s="78"/>
      <c r="L88" s="78"/>
      <c r="M88" s="79"/>
      <c r="N88" s="78"/>
      <c r="O88" s="78"/>
      <c r="P88" s="78"/>
      <c r="Q88" s="76" t="str">
        <f t="shared" si="5"/>
        <v/>
      </c>
      <c r="R88" s="78"/>
    </row>
    <row r="89" spans="1:18" x14ac:dyDescent="0.3">
      <c r="A89" s="76" t="str">
        <f t="shared" si="4"/>
        <v/>
      </c>
      <c r="B89" s="77"/>
      <c r="C89" s="76" t="str">
        <f>IF($B89="","",$B89-Dashboard!$B$3+1)</f>
        <v/>
      </c>
      <c r="D89" s="78"/>
      <c r="E89" s="78"/>
      <c r="F89" s="78"/>
      <c r="G89" s="78"/>
      <c r="H89" s="79"/>
      <c r="I89" s="79"/>
      <c r="J89" s="78"/>
      <c r="K89" s="78"/>
      <c r="L89" s="78"/>
      <c r="M89" s="79"/>
      <c r="N89" s="78"/>
      <c r="O89" s="78"/>
      <c r="P89" s="78"/>
      <c r="Q89" s="76" t="str">
        <f t="shared" si="5"/>
        <v/>
      </c>
      <c r="R89" s="78"/>
    </row>
    <row r="90" spans="1:18" x14ac:dyDescent="0.3">
      <c r="A90" s="76" t="str">
        <f t="shared" si="4"/>
        <v/>
      </c>
      <c r="B90" s="77"/>
      <c r="C90" s="76" t="str">
        <f>IF($B90="","",$B90-Dashboard!$B$3+1)</f>
        <v/>
      </c>
      <c r="D90" s="78"/>
      <c r="E90" s="78"/>
      <c r="F90" s="78"/>
      <c r="G90" s="78"/>
      <c r="H90" s="79"/>
      <c r="I90" s="79"/>
      <c r="J90" s="78"/>
      <c r="K90" s="78"/>
      <c r="L90" s="78"/>
      <c r="M90" s="79"/>
      <c r="N90" s="78"/>
      <c r="O90" s="78"/>
      <c r="P90" s="78"/>
      <c r="Q90" s="76" t="str">
        <f t="shared" si="5"/>
        <v/>
      </c>
      <c r="R90" s="78"/>
    </row>
    <row r="91" spans="1:18" x14ac:dyDescent="0.3">
      <c r="A91" s="76" t="str">
        <f t="shared" si="4"/>
        <v/>
      </c>
      <c r="B91" s="77"/>
      <c r="C91" s="76" t="str">
        <f>IF($B91="","",$B91-Dashboard!$B$3+1)</f>
        <v/>
      </c>
      <c r="D91" s="78"/>
      <c r="E91" s="78"/>
      <c r="F91" s="78"/>
      <c r="G91" s="78"/>
      <c r="H91" s="79"/>
      <c r="I91" s="79"/>
      <c r="J91" s="78"/>
      <c r="K91" s="78"/>
      <c r="L91" s="78"/>
      <c r="M91" s="79"/>
      <c r="N91" s="78"/>
      <c r="O91" s="78"/>
      <c r="P91" s="78"/>
      <c r="Q91" s="76" t="str">
        <f t="shared" si="5"/>
        <v/>
      </c>
      <c r="R91" s="78"/>
    </row>
    <row r="92" spans="1:18" x14ac:dyDescent="0.3">
      <c r="A92" s="76" t="str">
        <f t="shared" si="4"/>
        <v/>
      </c>
      <c r="B92" s="77"/>
      <c r="C92" s="76" t="str">
        <f>IF($B92="","",$B92-Dashboard!$B$3+1)</f>
        <v/>
      </c>
      <c r="D92" s="78"/>
      <c r="E92" s="78"/>
      <c r="F92" s="78"/>
      <c r="G92" s="78"/>
      <c r="H92" s="79"/>
      <c r="I92" s="79"/>
      <c r="J92" s="78"/>
      <c r="K92" s="78"/>
      <c r="L92" s="78"/>
      <c r="M92" s="79"/>
      <c r="N92" s="78"/>
      <c r="O92" s="78"/>
      <c r="P92" s="78"/>
      <c r="Q92" s="76" t="str">
        <f t="shared" si="5"/>
        <v/>
      </c>
      <c r="R92" s="78"/>
    </row>
    <row r="93" spans="1:18" x14ac:dyDescent="0.3">
      <c r="A93" s="76" t="str">
        <f t="shared" si="4"/>
        <v/>
      </c>
      <c r="B93" s="77"/>
      <c r="C93" s="76" t="str">
        <f>IF($B93="","",$B93-Dashboard!$B$3+1)</f>
        <v/>
      </c>
      <c r="D93" s="78"/>
      <c r="E93" s="78"/>
      <c r="F93" s="78"/>
      <c r="G93" s="78"/>
      <c r="H93" s="79"/>
      <c r="I93" s="79"/>
      <c r="J93" s="78"/>
      <c r="K93" s="78"/>
      <c r="L93" s="78"/>
      <c r="M93" s="79"/>
      <c r="N93" s="78"/>
      <c r="O93" s="78"/>
      <c r="P93" s="78"/>
      <c r="Q93" s="76" t="str">
        <f t="shared" si="5"/>
        <v/>
      </c>
      <c r="R93" s="78"/>
    </row>
    <row r="94" spans="1:18" x14ac:dyDescent="0.3">
      <c r="A94" s="76" t="str">
        <f t="shared" si="4"/>
        <v/>
      </c>
      <c r="B94" s="77"/>
      <c r="C94" s="76" t="str">
        <f>IF($B94="","",$B94-Dashboard!$B$3+1)</f>
        <v/>
      </c>
      <c r="D94" s="78"/>
      <c r="E94" s="78"/>
      <c r="F94" s="78"/>
      <c r="G94" s="78"/>
      <c r="H94" s="79"/>
      <c r="I94" s="79"/>
      <c r="J94" s="78"/>
      <c r="K94" s="78"/>
      <c r="L94" s="78"/>
      <c r="M94" s="79"/>
      <c r="N94" s="78"/>
      <c r="O94" s="78"/>
      <c r="P94" s="78"/>
      <c r="Q94" s="76" t="str">
        <f t="shared" si="5"/>
        <v/>
      </c>
      <c r="R94" s="78"/>
    </row>
    <row r="95" spans="1:18" x14ac:dyDescent="0.3">
      <c r="A95" s="76" t="str">
        <f t="shared" si="4"/>
        <v/>
      </c>
      <c r="B95" s="77"/>
      <c r="C95" s="76" t="str">
        <f>IF($B95="","",$B95-Dashboard!$B$3+1)</f>
        <v/>
      </c>
      <c r="D95" s="78"/>
      <c r="E95" s="78"/>
      <c r="F95" s="78"/>
      <c r="G95" s="78"/>
      <c r="H95" s="79"/>
      <c r="I95" s="79"/>
      <c r="J95" s="78"/>
      <c r="K95" s="78"/>
      <c r="L95" s="78"/>
      <c r="M95" s="79"/>
      <c r="N95" s="78"/>
      <c r="O95" s="78"/>
      <c r="P95" s="78"/>
      <c r="Q95" s="76" t="str">
        <f t="shared" si="5"/>
        <v/>
      </c>
      <c r="R95" s="78"/>
    </row>
    <row r="96" spans="1:18" x14ac:dyDescent="0.3">
      <c r="A96" s="76" t="str">
        <f t="shared" si="4"/>
        <v/>
      </c>
      <c r="B96" s="77"/>
      <c r="C96" s="76" t="str">
        <f>IF($B96="","",$B96-Dashboard!$B$3+1)</f>
        <v/>
      </c>
      <c r="D96" s="78"/>
      <c r="E96" s="78"/>
      <c r="F96" s="78"/>
      <c r="G96" s="78"/>
      <c r="H96" s="79"/>
      <c r="I96" s="79"/>
      <c r="J96" s="78"/>
      <c r="K96" s="78"/>
      <c r="L96" s="78"/>
      <c r="M96" s="79"/>
      <c r="N96" s="78"/>
      <c r="O96" s="78"/>
      <c r="P96" s="78"/>
      <c r="Q96" s="76" t="str">
        <f t="shared" si="5"/>
        <v/>
      </c>
      <c r="R96" s="78"/>
    </row>
    <row r="97" spans="1:18" x14ac:dyDescent="0.3">
      <c r="A97" s="76" t="str">
        <f t="shared" si="4"/>
        <v/>
      </c>
      <c r="B97" s="77"/>
      <c r="C97" s="76" t="str">
        <f>IF($B97="","",$B97-Dashboard!$B$3+1)</f>
        <v/>
      </c>
      <c r="D97" s="78"/>
      <c r="E97" s="78"/>
      <c r="F97" s="78"/>
      <c r="G97" s="78"/>
      <c r="H97" s="79"/>
      <c r="I97" s="79"/>
      <c r="J97" s="78"/>
      <c r="K97" s="78"/>
      <c r="L97" s="78"/>
      <c r="M97" s="79"/>
      <c r="N97" s="78"/>
      <c r="O97" s="78"/>
      <c r="P97" s="78"/>
      <c r="Q97" s="76" t="str">
        <f t="shared" si="5"/>
        <v/>
      </c>
      <c r="R97" s="78"/>
    </row>
    <row r="98" spans="1:18" x14ac:dyDescent="0.3">
      <c r="A98" s="76" t="str">
        <f t="shared" si="4"/>
        <v/>
      </c>
      <c r="B98" s="77"/>
      <c r="C98" s="76" t="str">
        <f>IF($B98="","",$B98-Dashboard!$B$3+1)</f>
        <v/>
      </c>
      <c r="D98" s="78"/>
      <c r="E98" s="78"/>
      <c r="F98" s="78"/>
      <c r="G98" s="78"/>
      <c r="H98" s="79"/>
      <c r="I98" s="79"/>
      <c r="J98" s="78"/>
      <c r="K98" s="78"/>
      <c r="L98" s="78"/>
      <c r="M98" s="79"/>
      <c r="N98" s="78"/>
      <c r="O98" s="78"/>
      <c r="P98" s="78"/>
      <c r="Q98" s="76" t="str">
        <f t="shared" si="5"/>
        <v/>
      </c>
      <c r="R98" s="78"/>
    </row>
    <row r="99" spans="1:18" x14ac:dyDescent="0.3">
      <c r="A99" s="76" t="str">
        <f t="shared" si="4"/>
        <v/>
      </c>
      <c r="B99" s="77"/>
      <c r="C99" s="76" t="str">
        <f>IF($B99="","",$B99-Dashboard!$B$3+1)</f>
        <v/>
      </c>
      <c r="D99" s="78"/>
      <c r="E99" s="78"/>
      <c r="F99" s="78"/>
      <c r="G99" s="78"/>
      <c r="H99" s="79"/>
      <c r="I99" s="79"/>
      <c r="J99" s="78"/>
      <c r="K99" s="78"/>
      <c r="L99" s="78"/>
      <c r="M99" s="79"/>
      <c r="N99" s="78"/>
      <c r="O99" s="78"/>
      <c r="P99" s="78"/>
      <c r="Q99" s="76" t="str">
        <f t="shared" si="5"/>
        <v/>
      </c>
      <c r="R99" s="78"/>
    </row>
    <row r="100" spans="1:18" x14ac:dyDescent="0.3">
      <c r="A100" s="76" t="str">
        <f t="shared" si="4"/>
        <v/>
      </c>
      <c r="B100" s="77"/>
      <c r="C100" s="76" t="str">
        <f>IF($B100="","",$B100-Dashboard!$B$3+1)</f>
        <v/>
      </c>
      <c r="D100" s="78"/>
      <c r="E100" s="78"/>
      <c r="F100" s="78"/>
      <c r="G100" s="78"/>
      <c r="H100" s="79"/>
      <c r="I100" s="79"/>
      <c r="J100" s="78"/>
      <c r="K100" s="78"/>
      <c r="L100" s="78"/>
      <c r="M100" s="79"/>
      <c r="N100" s="78"/>
      <c r="O100" s="78"/>
      <c r="P100" s="78"/>
      <c r="Q100" s="76" t="str">
        <f t="shared" si="5"/>
        <v/>
      </c>
      <c r="R100" s="78"/>
    </row>
    <row r="101" spans="1:18" x14ac:dyDescent="0.3">
      <c r="A101" s="76" t="str">
        <f t="shared" si="4"/>
        <v/>
      </c>
      <c r="B101" s="77"/>
      <c r="C101" s="76" t="str">
        <f>IF($B101="","",$B101-Dashboard!$B$3+1)</f>
        <v/>
      </c>
      <c r="D101" s="78"/>
      <c r="E101" s="78"/>
      <c r="F101" s="78"/>
      <c r="G101" s="78"/>
      <c r="H101" s="79"/>
      <c r="I101" s="79"/>
      <c r="J101" s="78"/>
      <c r="K101" s="78"/>
      <c r="L101" s="78"/>
      <c r="M101" s="79"/>
      <c r="N101" s="78"/>
      <c r="O101" s="78"/>
      <c r="P101" s="78"/>
      <c r="Q101" s="76" t="str">
        <f t="shared" si="5"/>
        <v/>
      </c>
      <c r="R101" s="78"/>
    </row>
    <row r="102" spans="1:18" x14ac:dyDescent="0.3">
      <c r="A102" s="76" t="str">
        <f t="shared" si="4"/>
        <v/>
      </c>
      <c r="B102" s="77"/>
      <c r="C102" s="76" t="str">
        <f>IF($B102="","",$B102-Dashboard!$B$3+1)</f>
        <v/>
      </c>
      <c r="D102" s="78"/>
      <c r="E102" s="78"/>
      <c r="F102" s="78"/>
      <c r="G102" s="78"/>
      <c r="H102" s="79"/>
      <c r="I102" s="79"/>
      <c r="J102" s="78"/>
      <c r="K102" s="78"/>
      <c r="L102" s="78"/>
      <c r="M102" s="79"/>
      <c r="N102" s="78"/>
      <c r="O102" s="78"/>
      <c r="P102" s="78"/>
      <c r="Q102" s="76" t="str">
        <f t="shared" si="5"/>
        <v/>
      </c>
      <c r="R102" s="78"/>
    </row>
    <row r="103" spans="1:18" x14ac:dyDescent="0.3">
      <c r="A103" s="76" t="str">
        <f t="shared" ref="A103:A134" si="6">IF($B103="","",ROW()-4)</f>
        <v/>
      </c>
      <c r="B103" s="77"/>
      <c r="C103" s="76" t="str">
        <f>IF($B103="","",$B103-Dashboard!$B$3+1)</f>
        <v/>
      </c>
      <c r="D103" s="78"/>
      <c r="E103" s="78"/>
      <c r="F103" s="78"/>
      <c r="G103" s="78"/>
      <c r="H103" s="79"/>
      <c r="I103" s="79"/>
      <c r="J103" s="78"/>
      <c r="K103" s="78"/>
      <c r="L103" s="78"/>
      <c r="M103" s="79"/>
      <c r="N103" s="78"/>
      <c r="O103" s="78"/>
      <c r="P103" s="78"/>
      <c r="Q103" s="76" t="str">
        <f t="shared" ref="Q103:Q134" si="7">IF($B103="","",IFERROR($O103-$P103,0))</f>
        <v/>
      </c>
      <c r="R103" s="78"/>
    </row>
    <row r="104" spans="1:18" x14ac:dyDescent="0.3">
      <c r="A104" s="76" t="str">
        <f t="shared" si="6"/>
        <v/>
      </c>
      <c r="B104" s="77"/>
      <c r="C104" s="76" t="str">
        <f>IF($B104="","",$B104-Dashboard!$B$3+1)</f>
        <v/>
      </c>
      <c r="D104" s="78"/>
      <c r="E104" s="78"/>
      <c r="F104" s="78"/>
      <c r="G104" s="78"/>
      <c r="H104" s="79"/>
      <c r="I104" s="79"/>
      <c r="J104" s="78"/>
      <c r="K104" s="78"/>
      <c r="L104" s="78"/>
      <c r="M104" s="79"/>
      <c r="N104" s="78"/>
      <c r="O104" s="78"/>
      <c r="P104" s="78"/>
      <c r="Q104" s="76" t="str">
        <f t="shared" si="7"/>
        <v/>
      </c>
      <c r="R104" s="78"/>
    </row>
    <row r="105" spans="1:18" x14ac:dyDescent="0.3">
      <c r="A105" s="76" t="str">
        <f t="shared" si="6"/>
        <v/>
      </c>
      <c r="B105" s="77"/>
      <c r="C105" s="76" t="str">
        <f>IF($B105="","",$B105-Dashboard!$B$3+1)</f>
        <v/>
      </c>
      <c r="D105" s="78"/>
      <c r="E105" s="78"/>
      <c r="F105" s="78"/>
      <c r="G105" s="78"/>
      <c r="H105" s="79"/>
      <c r="I105" s="79"/>
      <c r="J105" s="78"/>
      <c r="K105" s="78"/>
      <c r="L105" s="78"/>
      <c r="M105" s="79"/>
      <c r="N105" s="78"/>
      <c r="O105" s="78"/>
      <c r="P105" s="78"/>
      <c r="Q105" s="76" t="str">
        <f t="shared" si="7"/>
        <v/>
      </c>
      <c r="R105" s="78"/>
    </row>
    <row r="106" spans="1:18" x14ac:dyDescent="0.3">
      <c r="A106" s="76" t="str">
        <f t="shared" si="6"/>
        <v/>
      </c>
      <c r="B106" s="77"/>
      <c r="C106" s="76" t="str">
        <f>IF($B106="","",$B106-Dashboard!$B$3+1)</f>
        <v/>
      </c>
      <c r="D106" s="78"/>
      <c r="E106" s="78"/>
      <c r="F106" s="78"/>
      <c r="G106" s="78"/>
      <c r="H106" s="79"/>
      <c r="I106" s="79"/>
      <c r="J106" s="78"/>
      <c r="K106" s="78"/>
      <c r="L106" s="78"/>
      <c r="M106" s="79"/>
      <c r="N106" s="78"/>
      <c r="O106" s="78"/>
      <c r="P106" s="78"/>
      <c r="Q106" s="76" t="str">
        <f t="shared" si="7"/>
        <v/>
      </c>
      <c r="R106" s="78"/>
    </row>
    <row r="107" spans="1:18" x14ac:dyDescent="0.3">
      <c r="A107" s="76" t="str">
        <f t="shared" si="6"/>
        <v/>
      </c>
      <c r="B107" s="77"/>
      <c r="C107" s="76" t="str">
        <f>IF($B107="","",$B107-Dashboard!$B$3+1)</f>
        <v/>
      </c>
      <c r="D107" s="78"/>
      <c r="E107" s="78"/>
      <c r="F107" s="78"/>
      <c r="G107" s="78"/>
      <c r="H107" s="79"/>
      <c r="I107" s="79"/>
      <c r="J107" s="78"/>
      <c r="K107" s="78"/>
      <c r="L107" s="78"/>
      <c r="M107" s="79"/>
      <c r="N107" s="78"/>
      <c r="O107" s="78"/>
      <c r="P107" s="78"/>
      <c r="Q107" s="76" t="str">
        <f t="shared" si="7"/>
        <v/>
      </c>
      <c r="R107" s="78"/>
    </row>
    <row r="108" spans="1:18" x14ac:dyDescent="0.3">
      <c r="A108" s="76" t="str">
        <f t="shared" si="6"/>
        <v/>
      </c>
      <c r="B108" s="77"/>
      <c r="C108" s="76" t="str">
        <f>IF($B108="","",$B108-Dashboard!$B$3+1)</f>
        <v/>
      </c>
      <c r="D108" s="78"/>
      <c r="E108" s="78"/>
      <c r="F108" s="78"/>
      <c r="G108" s="78"/>
      <c r="H108" s="79"/>
      <c r="I108" s="79"/>
      <c r="J108" s="78"/>
      <c r="K108" s="78"/>
      <c r="L108" s="78"/>
      <c r="M108" s="79"/>
      <c r="N108" s="78"/>
      <c r="O108" s="78"/>
      <c r="P108" s="78"/>
      <c r="Q108" s="76" t="str">
        <f t="shared" si="7"/>
        <v/>
      </c>
      <c r="R108" s="78"/>
    </row>
    <row r="109" spans="1:18" x14ac:dyDescent="0.3">
      <c r="A109" s="76" t="str">
        <f t="shared" si="6"/>
        <v/>
      </c>
      <c r="B109" s="77"/>
      <c r="C109" s="76" t="str">
        <f>IF($B109="","",$B109-Dashboard!$B$3+1)</f>
        <v/>
      </c>
      <c r="D109" s="78"/>
      <c r="E109" s="78"/>
      <c r="F109" s="78"/>
      <c r="G109" s="78"/>
      <c r="H109" s="79"/>
      <c r="I109" s="79"/>
      <c r="J109" s="78"/>
      <c r="K109" s="78"/>
      <c r="L109" s="78"/>
      <c r="M109" s="79"/>
      <c r="N109" s="78"/>
      <c r="O109" s="78"/>
      <c r="P109" s="78"/>
      <c r="Q109" s="76" t="str">
        <f t="shared" si="7"/>
        <v/>
      </c>
      <c r="R109" s="78"/>
    </row>
    <row r="110" spans="1:18" x14ac:dyDescent="0.3">
      <c r="A110" s="76" t="str">
        <f t="shared" si="6"/>
        <v/>
      </c>
      <c r="B110" s="77"/>
      <c r="C110" s="76" t="str">
        <f>IF($B110="","",$B110-Dashboard!$B$3+1)</f>
        <v/>
      </c>
      <c r="D110" s="78"/>
      <c r="E110" s="78"/>
      <c r="F110" s="78"/>
      <c r="G110" s="78"/>
      <c r="H110" s="79"/>
      <c r="I110" s="79"/>
      <c r="J110" s="78"/>
      <c r="K110" s="78"/>
      <c r="L110" s="78"/>
      <c r="M110" s="79"/>
      <c r="N110" s="78"/>
      <c r="O110" s="78"/>
      <c r="P110" s="78"/>
      <c r="Q110" s="76" t="str">
        <f t="shared" si="7"/>
        <v/>
      </c>
      <c r="R110" s="78"/>
    </row>
    <row r="111" spans="1:18" x14ac:dyDescent="0.3">
      <c r="A111" s="76" t="str">
        <f t="shared" si="6"/>
        <v/>
      </c>
      <c r="B111" s="77"/>
      <c r="C111" s="76" t="str">
        <f>IF($B111="","",$B111-Dashboard!$B$3+1)</f>
        <v/>
      </c>
      <c r="D111" s="78"/>
      <c r="E111" s="78"/>
      <c r="F111" s="78"/>
      <c r="G111" s="78"/>
      <c r="H111" s="79"/>
      <c r="I111" s="79"/>
      <c r="J111" s="78"/>
      <c r="K111" s="78"/>
      <c r="L111" s="78"/>
      <c r="M111" s="79"/>
      <c r="N111" s="78"/>
      <c r="O111" s="78"/>
      <c r="P111" s="78"/>
      <c r="Q111" s="76" t="str">
        <f t="shared" si="7"/>
        <v/>
      </c>
      <c r="R111" s="78"/>
    </row>
    <row r="112" spans="1:18" x14ac:dyDescent="0.3">
      <c r="A112" s="76" t="str">
        <f t="shared" si="6"/>
        <v/>
      </c>
      <c r="B112" s="77"/>
      <c r="C112" s="76" t="str">
        <f>IF($B112="","",$B112-Dashboard!$B$3+1)</f>
        <v/>
      </c>
      <c r="D112" s="78"/>
      <c r="E112" s="78"/>
      <c r="F112" s="78"/>
      <c r="G112" s="78"/>
      <c r="H112" s="79"/>
      <c r="I112" s="79"/>
      <c r="J112" s="78"/>
      <c r="K112" s="78"/>
      <c r="L112" s="78"/>
      <c r="M112" s="79"/>
      <c r="N112" s="78"/>
      <c r="O112" s="78"/>
      <c r="P112" s="78"/>
      <c r="Q112" s="76" t="str">
        <f t="shared" si="7"/>
        <v/>
      </c>
      <c r="R112" s="78"/>
    </row>
    <row r="113" spans="1:18" x14ac:dyDescent="0.3">
      <c r="A113" s="76" t="str">
        <f t="shared" si="6"/>
        <v/>
      </c>
      <c r="B113" s="77"/>
      <c r="C113" s="76" t="str">
        <f>IF($B113="","",$B113-Dashboard!$B$3+1)</f>
        <v/>
      </c>
      <c r="D113" s="78"/>
      <c r="E113" s="78"/>
      <c r="F113" s="78"/>
      <c r="G113" s="78"/>
      <c r="H113" s="79"/>
      <c r="I113" s="79"/>
      <c r="J113" s="78"/>
      <c r="K113" s="78"/>
      <c r="L113" s="78"/>
      <c r="M113" s="79"/>
      <c r="N113" s="78"/>
      <c r="O113" s="78"/>
      <c r="P113" s="78"/>
      <c r="Q113" s="76" t="str">
        <f t="shared" si="7"/>
        <v/>
      </c>
      <c r="R113" s="78"/>
    </row>
    <row r="114" spans="1:18" x14ac:dyDescent="0.3">
      <c r="A114" s="76" t="str">
        <f t="shared" si="6"/>
        <v/>
      </c>
      <c r="B114" s="77"/>
      <c r="C114" s="76" t="str">
        <f>IF($B114="","",$B114-Dashboard!$B$3+1)</f>
        <v/>
      </c>
      <c r="D114" s="78"/>
      <c r="E114" s="78"/>
      <c r="F114" s="78"/>
      <c r="G114" s="78"/>
      <c r="H114" s="79"/>
      <c r="I114" s="79"/>
      <c r="J114" s="78"/>
      <c r="K114" s="78"/>
      <c r="L114" s="78"/>
      <c r="M114" s="79"/>
      <c r="N114" s="78"/>
      <c r="O114" s="78"/>
      <c r="P114" s="78"/>
      <c r="Q114" s="76" t="str">
        <f t="shared" si="7"/>
        <v/>
      </c>
      <c r="R114" s="78"/>
    </row>
    <row r="115" spans="1:18" x14ac:dyDescent="0.3">
      <c r="A115" s="76" t="str">
        <f t="shared" si="6"/>
        <v/>
      </c>
      <c r="B115" s="77"/>
      <c r="C115" s="76" t="str">
        <f>IF($B115="","",$B115-Dashboard!$B$3+1)</f>
        <v/>
      </c>
      <c r="D115" s="78"/>
      <c r="E115" s="78"/>
      <c r="F115" s="78"/>
      <c r="G115" s="78"/>
      <c r="H115" s="79"/>
      <c r="I115" s="79"/>
      <c r="J115" s="78"/>
      <c r="K115" s="78"/>
      <c r="L115" s="78"/>
      <c r="M115" s="79"/>
      <c r="N115" s="78"/>
      <c r="O115" s="78"/>
      <c r="P115" s="78"/>
      <c r="Q115" s="76" t="str">
        <f t="shared" si="7"/>
        <v/>
      </c>
      <c r="R115" s="78"/>
    </row>
    <row r="116" spans="1:18" x14ac:dyDescent="0.3">
      <c r="A116" s="76" t="str">
        <f t="shared" si="6"/>
        <v/>
      </c>
      <c r="B116" s="77"/>
      <c r="C116" s="76" t="str">
        <f>IF($B116="","",$B116-Dashboard!$B$3+1)</f>
        <v/>
      </c>
      <c r="D116" s="78"/>
      <c r="E116" s="78"/>
      <c r="F116" s="78"/>
      <c r="G116" s="78"/>
      <c r="H116" s="79"/>
      <c r="I116" s="79"/>
      <c r="J116" s="78"/>
      <c r="K116" s="78"/>
      <c r="L116" s="78"/>
      <c r="M116" s="79"/>
      <c r="N116" s="78"/>
      <c r="O116" s="78"/>
      <c r="P116" s="78"/>
      <c r="Q116" s="76" t="str">
        <f t="shared" si="7"/>
        <v/>
      </c>
      <c r="R116" s="78"/>
    </row>
    <row r="117" spans="1:18" x14ac:dyDescent="0.3">
      <c r="A117" s="76" t="str">
        <f t="shared" si="6"/>
        <v/>
      </c>
      <c r="B117" s="77"/>
      <c r="C117" s="76" t="str">
        <f>IF($B117="","",$B117-Dashboard!$B$3+1)</f>
        <v/>
      </c>
      <c r="D117" s="78"/>
      <c r="E117" s="78"/>
      <c r="F117" s="78"/>
      <c r="G117" s="78"/>
      <c r="H117" s="79"/>
      <c r="I117" s="79"/>
      <c r="J117" s="78"/>
      <c r="K117" s="78"/>
      <c r="L117" s="78"/>
      <c r="M117" s="79"/>
      <c r="N117" s="78"/>
      <c r="O117" s="78"/>
      <c r="P117" s="78"/>
      <c r="Q117" s="76" t="str">
        <f t="shared" si="7"/>
        <v/>
      </c>
      <c r="R117" s="78"/>
    </row>
    <row r="118" spans="1:18" x14ac:dyDescent="0.3">
      <c r="A118" s="76" t="str">
        <f t="shared" si="6"/>
        <v/>
      </c>
      <c r="B118" s="77"/>
      <c r="C118" s="76" t="str">
        <f>IF($B118="","",$B118-Dashboard!$B$3+1)</f>
        <v/>
      </c>
      <c r="D118" s="78"/>
      <c r="E118" s="78"/>
      <c r="F118" s="78"/>
      <c r="G118" s="78"/>
      <c r="H118" s="79"/>
      <c r="I118" s="79"/>
      <c r="J118" s="78"/>
      <c r="K118" s="78"/>
      <c r="L118" s="78"/>
      <c r="M118" s="79"/>
      <c r="N118" s="78"/>
      <c r="O118" s="78"/>
      <c r="P118" s="78"/>
      <c r="Q118" s="76" t="str">
        <f t="shared" si="7"/>
        <v/>
      </c>
      <c r="R118" s="78"/>
    </row>
    <row r="119" spans="1:18" x14ac:dyDescent="0.3">
      <c r="A119" s="76" t="str">
        <f t="shared" si="6"/>
        <v/>
      </c>
      <c r="B119" s="77"/>
      <c r="C119" s="76" t="str">
        <f>IF($B119="","",$B119-Dashboard!$B$3+1)</f>
        <v/>
      </c>
      <c r="D119" s="78"/>
      <c r="E119" s="78"/>
      <c r="F119" s="78"/>
      <c r="G119" s="78"/>
      <c r="H119" s="79"/>
      <c r="I119" s="79"/>
      <c r="J119" s="78"/>
      <c r="K119" s="78"/>
      <c r="L119" s="78"/>
      <c r="M119" s="79"/>
      <c r="N119" s="78"/>
      <c r="O119" s="78"/>
      <c r="P119" s="78"/>
      <c r="Q119" s="76" t="str">
        <f t="shared" si="7"/>
        <v/>
      </c>
      <c r="R119" s="78"/>
    </row>
    <row r="120" spans="1:18" x14ac:dyDescent="0.3">
      <c r="A120" s="76" t="str">
        <f t="shared" si="6"/>
        <v/>
      </c>
      <c r="B120" s="77"/>
      <c r="C120" s="76" t="str">
        <f>IF($B120="","",$B120-Dashboard!$B$3+1)</f>
        <v/>
      </c>
      <c r="D120" s="78"/>
      <c r="E120" s="78"/>
      <c r="F120" s="78"/>
      <c r="G120" s="78"/>
      <c r="H120" s="79"/>
      <c r="I120" s="79"/>
      <c r="J120" s="78"/>
      <c r="K120" s="78"/>
      <c r="L120" s="78"/>
      <c r="M120" s="79"/>
      <c r="N120" s="78"/>
      <c r="O120" s="78"/>
      <c r="P120" s="78"/>
      <c r="Q120" s="76" t="str">
        <f t="shared" si="7"/>
        <v/>
      </c>
      <c r="R120" s="78"/>
    </row>
    <row r="121" spans="1:18" x14ac:dyDescent="0.3">
      <c r="A121" s="76" t="str">
        <f t="shared" si="6"/>
        <v/>
      </c>
      <c r="B121" s="77"/>
      <c r="C121" s="76" t="str">
        <f>IF($B121="","",$B121-Dashboard!$B$3+1)</f>
        <v/>
      </c>
      <c r="D121" s="78"/>
      <c r="E121" s="78"/>
      <c r="F121" s="78"/>
      <c r="G121" s="78"/>
      <c r="H121" s="79"/>
      <c r="I121" s="79"/>
      <c r="J121" s="78"/>
      <c r="K121" s="78"/>
      <c r="L121" s="78"/>
      <c r="M121" s="79"/>
      <c r="N121" s="78"/>
      <c r="O121" s="78"/>
      <c r="P121" s="78"/>
      <c r="Q121" s="76" t="str">
        <f t="shared" si="7"/>
        <v/>
      </c>
      <c r="R121" s="78"/>
    </row>
    <row r="122" spans="1:18" x14ac:dyDescent="0.3">
      <c r="A122" s="76" t="str">
        <f t="shared" si="6"/>
        <v/>
      </c>
      <c r="B122" s="77"/>
      <c r="C122" s="76" t="str">
        <f>IF($B122="","",$B122-Dashboard!$B$3+1)</f>
        <v/>
      </c>
      <c r="D122" s="78"/>
      <c r="E122" s="78"/>
      <c r="F122" s="78"/>
      <c r="G122" s="78"/>
      <c r="H122" s="79"/>
      <c r="I122" s="79"/>
      <c r="J122" s="78"/>
      <c r="K122" s="78"/>
      <c r="L122" s="78"/>
      <c r="M122" s="79"/>
      <c r="N122" s="78"/>
      <c r="O122" s="78"/>
      <c r="P122" s="78"/>
      <c r="Q122" s="76" t="str">
        <f t="shared" si="7"/>
        <v/>
      </c>
      <c r="R122" s="78"/>
    </row>
    <row r="123" spans="1:18" x14ac:dyDescent="0.3">
      <c r="A123" s="76" t="str">
        <f t="shared" si="6"/>
        <v/>
      </c>
      <c r="B123" s="77"/>
      <c r="C123" s="76" t="str">
        <f>IF($B123="","",$B123-Dashboard!$B$3+1)</f>
        <v/>
      </c>
      <c r="D123" s="78"/>
      <c r="E123" s="78"/>
      <c r="F123" s="78"/>
      <c r="G123" s="78"/>
      <c r="H123" s="79"/>
      <c r="I123" s="79"/>
      <c r="J123" s="78"/>
      <c r="K123" s="78"/>
      <c r="L123" s="78"/>
      <c r="M123" s="79"/>
      <c r="N123" s="78"/>
      <c r="O123" s="78"/>
      <c r="P123" s="78"/>
      <c r="Q123" s="76" t="str">
        <f t="shared" si="7"/>
        <v/>
      </c>
      <c r="R123" s="78"/>
    </row>
    <row r="124" spans="1:18" x14ac:dyDescent="0.3">
      <c r="A124" s="76" t="str">
        <f t="shared" si="6"/>
        <v/>
      </c>
      <c r="B124" s="77"/>
      <c r="C124" s="76" t="str">
        <f>IF($B124="","",$B124-Dashboard!$B$3+1)</f>
        <v/>
      </c>
      <c r="D124" s="78"/>
      <c r="E124" s="78"/>
      <c r="F124" s="78"/>
      <c r="G124" s="78"/>
      <c r="H124" s="79"/>
      <c r="I124" s="79"/>
      <c r="J124" s="78"/>
      <c r="K124" s="78"/>
      <c r="L124" s="78"/>
      <c r="M124" s="79"/>
      <c r="N124" s="78"/>
      <c r="O124" s="78"/>
      <c r="P124" s="78"/>
      <c r="Q124" s="76" t="str">
        <f t="shared" si="7"/>
        <v/>
      </c>
      <c r="R124" s="78"/>
    </row>
    <row r="125" spans="1:18" x14ac:dyDescent="0.3">
      <c r="A125" s="76" t="str">
        <f t="shared" si="6"/>
        <v/>
      </c>
      <c r="B125" s="77"/>
      <c r="C125" s="76" t="str">
        <f>IF($B125="","",$B125-Dashboard!$B$3+1)</f>
        <v/>
      </c>
      <c r="D125" s="78"/>
      <c r="E125" s="78"/>
      <c r="F125" s="78"/>
      <c r="G125" s="78"/>
      <c r="H125" s="79"/>
      <c r="I125" s="79"/>
      <c r="J125" s="78"/>
      <c r="K125" s="78"/>
      <c r="L125" s="78"/>
      <c r="M125" s="79"/>
      <c r="N125" s="78"/>
      <c r="O125" s="78"/>
      <c r="P125" s="78"/>
      <c r="Q125" s="76" t="str">
        <f t="shared" si="7"/>
        <v/>
      </c>
      <c r="R125" s="78"/>
    </row>
    <row r="126" spans="1:18" x14ac:dyDescent="0.3">
      <c r="A126" s="76" t="str">
        <f t="shared" si="6"/>
        <v/>
      </c>
      <c r="B126" s="77"/>
      <c r="C126" s="76" t="str">
        <f>IF($B126="","",$B126-Dashboard!$B$3+1)</f>
        <v/>
      </c>
      <c r="D126" s="78"/>
      <c r="E126" s="78"/>
      <c r="F126" s="78"/>
      <c r="G126" s="78"/>
      <c r="H126" s="79"/>
      <c r="I126" s="79"/>
      <c r="J126" s="78"/>
      <c r="K126" s="78"/>
      <c r="L126" s="78"/>
      <c r="M126" s="79"/>
      <c r="N126" s="78"/>
      <c r="O126" s="78"/>
      <c r="P126" s="78"/>
      <c r="Q126" s="76" t="str">
        <f t="shared" si="7"/>
        <v/>
      </c>
      <c r="R126" s="78"/>
    </row>
    <row r="127" spans="1:18" x14ac:dyDescent="0.3">
      <c r="A127" s="76" t="str">
        <f t="shared" si="6"/>
        <v/>
      </c>
      <c r="B127" s="77"/>
      <c r="C127" s="76" t="str">
        <f>IF($B127="","",$B127-Dashboard!$B$3+1)</f>
        <v/>
      </c>
      <c r="D127" s="78"/>
      <c r="E127" s="78"/>
      <c r="F127" s="78"/>
      <c r="G127" s="78"/>
      <c r="H127" s="79"/>
      <c r="I127" s="79"/>
      <c r="J127" s="78"/>
      <c r="K127" s="78"/>
      <c r="L127" s="78"/>
      <c r="M127" s="79"/>
      <c r="N127" s="78"/>
      <c r="O127" s="78"/>
      <c r="P127" s="78"/>
      <c r="Q127" s="76" t="str">
        <f t="shared" si="7"/>
        <v/>
      </c>
      <c r="R127" s="78"/>
    </row>
    <row r="128" spans="1:18" x14ac:dyDescent="0.3">
      <c r="A128" s="76" t="str">
        <f t="shared" si="6"/>
        <v/>
      </c>
      <c r="B128" s="77"/>
      <c r="C128" s="76" t="str">
        <f>IF($B128="","",$B128-Dashboard!$B$3+1)</f>
        <v/>
      </c>
      <c r="D128" s="78"/>
      <c r="E128" s="78"/>
      <c r="F128" s="78"/>
      <c r="G128" s="78"/>
      <c r="H128" s="79"/>
      <c r="I128" s="79"/>
      <c r="J128" s="78"/>
      <c r="K128" s="78"/>
      <c r="L128" s="78"/>
      <c r="M128" s="79"/>
      <c r="N128" s="78"/>
      <c r="O128" s="78"/>
      <c r="P128" s="78"/>
      <c r="Q128" s="76" t="str">
        <f t="shared" si="7"/>
        <v/>
      </c>
      <c r="R128" s="78"/>
    </row>
    <row r="129" spans="1:18" x14ac:dyDescent="0.3">
      <c r="A129" s="76" t="str">
        <f t="shared" si="6"/>
        <v/>
      </c>
      <c r="B129" s="77"/>
      <c r="C129" s="76" t="str">
        <f>IF($B129="","",$B129-Dashboard!$B$3+1)</f>
        <v/>
      </c>
      <c r="D129" s="78"/>
      <c r="E129" s="78"/>
      <c r="F129" s="78"/>
      <c r="G129" s="78"/>
      <c r="H129" s="79"/>
      <c r="I129" s="79"/>
      <c r="J129" s="78"/>
      <c r="K129" s="78"/>
      <c r="L129" s="78"/>
      <c r="M129" s="79"/>
      <c r="N129" s="78"/>
      <c r="O129" s="78"/>
      <c r="P129" s="78"/>
      <c r="Q129" s="76" t="str">
        <f t="shared" si="7"/>
        <v/>
      </c>
      <c r="R129" s="78"/>
    </row>
    <row r="130" spans="1:18" x14ac:dyDescent="0.3">
      <c r="A130" s="76" t="str">
        <f t="shared" si="6"/>
        <v/>
      </c>
      <c r="B130" s="77"/>
      <c r="C130" s="76" t="str">
        <f>IF($B130="","",$B130-Dashboard!$B$3+1)</f>
        <v/>
      </c>
      <c r="D130" s="78"/>
      <c r="E130" s="78"/>
      <c r="F130" s="78"/>
      <c r="G130" s="78"/>
      <c r="H130" s="79"/>
      <c r="I130" s="79"/>
      <c r="J130" s="78"/>
      <c r="K130" s="78"/>
      <c r="L130" s="78"/>
      <c r="M130" s="79"/>
      <c r="N130" s="78"/>
      <c r="O130" s="78"/>
      <c r="P130" s="78"/>
      <c r="Q130" s="76" t="str">
        <f t="shared" si="7"/>
        <v/>
      </c>
      <c r="R130" s="78"/>
    </row>
    <row r="131" spans="1:18" x14ac:dyDescent="0.3">
      <c r="A131" s="76" t="str">
        <f t="shared" si="6"/>
        <v/>
      </c>
      <c r="B131" s="77"/>
      <c r="C131" s="76" t="str">
        <f>IF($B131="","",$B131-Dashboard!$B$3+1)</f>
        <v/>
      </c>
      <c r="D131" s="78"/>
      <c r="E131" s="78"/>
      <c r="F131" s="78"/>
      <c r="G131" s="78"/>
      <c r="H131" s="79"/>
      <c r="I131" s="79"/>
      <c r="J131" s="78"/>
      <c r="K131" s="78"/>
      <c r="L131" s="78"/>
      <c r="M131" s="79"/>
      <c r="N131" s="78"/>
      <c r="O131" s="78"/>
      <c r="P131" s="78"/>
      <c r="Q131" s="76" t="str">
        <f t="shared" si="7"/>
        <v/>
      </c>
      <c r="R131" s="78"/>
    </row>
    <row r="132" spans="1:18" x14ac:dyDescent="0.3">
      <c r="A132" s="76" t="str">
        <f t="shared" si="6"/>
        <v/>
      </c>
      <c r="B132" s="77"/>
      <c r="C132" s="76" t="str">
        <f>IF($B132="","",$B132-Dashboard!$B$3+1)</f>
        <v/>
      </c>
      <c r="D132" s="78"/>
      <c r="E132" s="78"/>
      <c r="F132" s="78"/>
      <c r="G132" s="78"/>
      <c r="H132" s="79"/>
      <c r="I132" s="79"/>
      <c r="J132" s="78"/>
      <c r="K132" s="78"/>
      <c r="L132" s="78"/>
      <c r="M132" s="79"/>
      <c r="N132" s="78"/>
      <c r="O132" s="78"/>
      <c r="P132" s="78"/>
      <c r="Q132" s="76" t="str">
        <f t="shared" si="7"/>
        <v/>
      </c>
      <c r="R132" s="78"/>
    </row>
    <row r="133" spans="1:18" x14ac:dyDescent="0.3">
      <c r="A133" s="76" t="str">
        <f t="shared" si="6"/>
        <v/>
      </c>
      <c r="B133" s="77"/>
      <c r="C133" s="76" t="str">
        <f>IF($B133="","",$B133-Dashboard!$B$3+1)</f>
        <v/>
      </c>
      <c r="D133" s="78"/>
      <c r="E133" s="78"/>
      <c r="F133" s="78"/>
      <c r="G133" s="78"/>
      <c r="H133" s="79"/>
      <c r="I133" s="79"/>
      <c r="J133" s="78"/>
      <c r="K133" s="78"/>
      <c r="L133" s="78"/>
      <c r="M133" s="79"/>
      <c r="N133" s="78"/>
      <c r="O133" s="78"/>
      <c r="P133" s="78"/>
      <c r="Q133" s="76" t="str">
        <f t="shared" si="7"/>
        <v/>
      </c>
      <c r="R133" s="78"/>
    </row>
    <row r="134" spans="1:18" x14ac:dyDescent="0.3">
      <c r="A134" s="76" t="str">
        <f t="shared" si="6"/>
        <v/>
      </c>
      <c r="B134" s="77"/>
      <c r="C134" s="76" t="str">
        <f>IF($B134="","",$B134-Dashboard!$B$3+1)</f>
        <v/>
      </c>
      <c r="D134" s="78"/>
      <c r="E134" s="78"/>
      <c r="F134" s="78"/>
      <c r="G134" s="78"/>
      <c r="H134" s="79"/>
      <c r="I134" s="79"/>
      <c r="J134" s="78"/>
      <c r="K134" s="78"/>
      <c r="L134" s="78"/>
      <c r="M134" s="79"/>
      <c r="N134" s="78"/>
      <c r="O134" s="78"/>
      <c r="P134" s="78"/>
      <c r="Q134" s="76" t="str">
        <f t="shared" si="7"/>
        <v/>
      </c>
      <c r="R134" s="78"/>
    </row>
    <row r="135" spans="1:18" x14ac:dyDescent="0.3">
      <c r="A135" s="76" t="str">
        <f t="shared" ref="A135:A166" si="8">IF($B135="","",ROW()-4)</f>
        <v/>
      </c>
      <c r="B135" s="77"/>
      <c r="C135" s="76" t="str">
        <f>IF($B135="","",$B135-Dashboard!$B$3+1)</f>
        <v/>
      </c>
      <c r="D135" s="78"/>
      <c r="E135" s="78"/>
      <c r="F135" s="78"/>
      <c r="G135" s="78"/>
      <c r="H135" s="79"/>
      <c r="I135" s="79"/>
      <c r="J135" s="78"/>
      <c r="K135" s="78"/>
      <c r="L135" s="78"/>
      <c r="M135" s="79"/>
      <c r="N135" s="78"/>
      <c r="O135" s="78"/>
      <c r="P135" s="78"/>
      <c r="Q135" s="76" t="str">
        <f t="shared" ref="Q135:Q166" si="9">IF($B135="","",IFERROR($O135-$P135,0))</f>
        <v/>
      </c>
      <c r="R135" s="78"/>
    </row>
    <row r="136" spans="1:18" x14ac:dyDescent="0.3">
      <c r="A136" s="76" t="str">
        <f t="shared" si="8"/>
        <v/>
      </c>
      <c r="B136" s="77"/>
      <c r="C136" s="76" t="str">
        <f>IF($B136="","",$B136-Dashboard!$B$3+1)</f>
        <v/>
      </c>
      <c r="D136" s="78"/>
      <c r="E136" s="78"/>
      <c r="F136" s="78"/>
      <c r="G136" s="78"/>
      <c r="H136" s="79"/>
      <c r="I136" s="79"/>
      <c r="J136" s="78"/>
      <c r="K136" s="78"/>
      <c r="L136" s="78"/>
      <c r="M136" s="79"/>
      <c r="N136" s="78"/>
      <c r="O136" s="78"/>
      <c r="P136" s="78"/>
      <c r="Q136" s="76" t="str">
        <f t="shared" si="9"/>
        <v/>
      </c>
      <c r="R136" s="78"/>
    </row>
    <row r="137" spans="1:18" x14ac:dyDescent="0.3">
      <c r="A137" s="76" t="str">
        <f t="shared" si="8"/>
        <v/>
      </c>
      <c r="B137" s="77"/>
      <c r="C137" s="76" t="str">
        <f>IF($B137="","",$B137-Dashboard!$B$3+1)</f>
        <v/>
      </c>
      <c r="D137" s="78"/>
      <c r="E137" s="78"/>
      <c r="F137" s="78"/>
      <c r="G137" s="78"/>
      <c r="H137" s="79"/>
      <c r="I137" s="79"/>
      <c r="J137" s="78"/>
      <c r="K137" s="78"/>
      <c r="L137" s="78"/>
      <c r="M137" s="79"/>
      <c r="N137" s="78"/>
      <c r="O137" s="78"/>
      <c r="P137" s="78"/>
      <c r="Q137" s="76" t="str">
        <f t="shared" si="9"/>
        <v/>
      </c>
      <c r="R137" s="78"/>
    </row>
    <row r="138" spans="1:18" x14ac:dyDescent="0.3">
      <c r="A138" s="76" t="str">
        <f t="shared" si="8"/>
        <v/>
      </c>
      <c r="B138" s="77"/>
      <c r="C138" s="76" t="str">
        <f>IF($B138="","",$B138-Dashboard!$B$3+1)</f>
        <v/>
      </c>
      <c r="D138" s="78"/>
      <c r="E138" s="78"/>
      <c r="F138" s="78"/>
      <c r="G138" s="78"/>
      <c r="H138" s="79"/>
      <c r="I138" s="79"/>
      <c r="J138" s="78"/>
      <c r="K138" s="78"/>
      <c r="L138" s="78"/>
      <c r="M138" s="79"/>
      <c r="N138" s="78"/>
      <c r="O138" s="78"/>
      <c r="P138" s="78"/>
      <c r="Q138" s="76" t="str">
        <f t="shared" si="9"/>
        <v/>
      </c>
      <c r="R138" s="78"/>
    </row>
    <row r="139" spans="1:18" x14ac:dyDescent="0.3">
      <c r="A139" s="76" t="str">
        <f t="shared" si="8"/>
        <v/>
      </c>
      <c r="B139" s="77"/>
      <c r="C139" s="76" t="str">
        <f>IF($B139="","",$B139-Dashboard!$B$3+1)</f>
        <v/>
      </c>
      <c r="D139" s="78"/>
      <c r="E139" s="78"/>
      <c r="F139" s="78"/>
      <c r="G139" s="78"/>
      <c r="H139" s="79"/>
      <c r="I139" s="79"/>
      <c r="J139" s="78"/>
      <c r="K139" s="78"/>
      <c r="L139" s="78"/>
      <c r="M139" s="79"/>
      <c r="N139" s="78"/>
      <c r="O139" s="78"/>
      <c r="P139" s="78"/>
      <c r="Q139" s="76" t="str">
        <f t="shared" si="9"/>
        <v/>
      </c>
      <c r="R139" s="78"/>
    </row>
    <row r="140" spans="1:18" x14ac:dyDescent="0.3">
      <c r="A140" s="76" t="str">
        <f t="shared" si="8"/>
        <v/>
      </c>
      <c r="B140" s="77"/>
      <c r="C140" s="76" t="str">
        <f>IF($B140="","",$B140-Dashboard!$B$3+1)</f>
        <v/>
      </c>
      <c r="D140" s="78"/>
      <c r="E140" s="78"/>
      <c r="F140" s="78"/>
      <c r="G140" s="78"/>
      <c r="H140" s="79"/>
      <c r="I140" s="79"/>
      <c r="J140" s="78"/>
      <c r="K140" s="78"/>
      <c r="L140" s="78"/>
      <c r="M140" s="79"/>
      <c r="N140" s="78"/>
      <c r="O140" s="78"/>
      <c r="P140" s="78"/>
      <c r="Q140" s="76" t="str">
        <f t="shared" si="9"/>
        <v/>
      </c>
      <c r="R140" s="78"/>
    </row>
    <row r="141" spans="1:18" x14ac:dyDescent="0.3">
      <c r="A141" s="76" t="str">
        <f t="shared" si="8"/>
        <v/>
      </c>
      <c r="B141" s="77"/>
      <c r="C141" s="76" t="str">
        <f>IF($B141="","",$B141-Dashboard!$B$3+1)</f>
        <v/>
      </c>
      <c r="D141" s="78"/>
      <c r="E141" s="78"/>
      <c r="F141" s="78"/>
      <c r="G141" s="78"/>
      <c r="H141" s="79"/>
      <c r="I141" s="79"/>
      <c r="J141" s="78"/>
      <c r="K141" s="78"/>
      <c r="L141" s="78"/>
      <c r="M141" s="79"/>
      <c r="N141" s="78"/>
      <c r="O141" s="78"/>
      <c r="P141" s="78"/>
      <c r="Q141" s="76" t="str">
        <f t="shared" si="9"/>
        <v/>
      </c>
      <c r="R141" s="78"/>
    </row>
    <row r="142" spans="1:18" x14ac:dyDescent="0.3">
      <c r="A142" s="76" t="str">
        <f t="shared" si="8"/>
        <v/>
      </c>
      <c r="B142" s="77"/>
      <c r="C142" s="76" t="str">
        <f>IF($B142="","",$B142-Dashboard!$B$3+1)</f>
        <v/>
      </c>
      <c r="D142" s="78"/>
      <c r="E142" s="78"/>
      <c r="F142" s="78"/>
      <c r="G142" s="78"/>
      <c r="H142" s="79"/>
      <c r="I142" s="79"/>
      <c r="J142" s="78"/>
      <c r="K142" s="78"/>
      <c r="L142" s="78"/>
      <c r="M142" s="79"/>
      <c r="N142" s="78"/>
      <c r="O142" s="78"/>
      <c r="P142" s="78"/>
      <c r="Q142" s="76" t="str">
        <f t="shared" si="9"/>
        <v/>
      </c>
      <c r="R142" s="78"/>
    </row>
    <row r="143" spans="1:18" x14ac:dyDescent="0.3">
      <c r="A143" s="76" t="str">
        <f t="shared" si="8"/>
        <v/>
      </c>
      <c r="B143" s="77"/>
      <c r="C143" s="76" t="str">
        <f>IF($B143="","",$B143-Dashboard!$B$3+1)</f>
        <v/>
      </c>
      <c r="D143" s="78"/>
      <c r="E143" s="78"/>
      <c r="F143" s="78"/>
      <c r="G143" s="78"/>
      <c r="H143" s="79"/>
      <c r="I143" s="79"/>
      <c r="J143" s="78"/>
      <c r="K143" s="78"/>
      <c r="L143" s="78"/>
      <c r="M143" s="79"/>
      <c r="N143" s="78"/>
      <c r="O143" s="78"/>
      <c r="P143" s="78"/>
      <c r="Q143" s="76" t="str">
        <f t="shared" si="9"/>
        <v/>
      </c>
      <c r="R143" s="78"/>
    </row>
    <row r="144" spans="1:18" x14ac:dyDescent="0.3">
      <c r="A144" s="76" t="str">
        <f t="shared" si="8"/>
        <v/>
      </c>
      <c r="B144" s="77"/>
      <c r="C144" s="76" t="str">
        <f>IF($B144="","",$B144-Dashboard!$B$3+1)</f>
        <v/>
      </c>
      <c r="D144" s="78"/>
      <c r="E144" s="78"/>
      <c r="F144" s="78"/>
      <c r="G144" s="78"/>
      <c r="H144" s="79"/>
      <c r="I144" s="79"/>
      <c r="J144" s="78"/>
      <c r="K144" s="78"/>
      <c r="L144" s="78"/>
      <c r="M144" s="79"/>
      <c r="N144" s="78"/>
      <c r="O144" s="78"/>
      <c r="P144" s="78"/>
      <c r="Q144" s="76" t="str">
        <f t="shared" si="9"/>
        <v/>
      </c>
      <c r="R144" s="78"/>
    </row>
    <row r="145" spans="1:18" x14ac:dyDescent="0.3">
      <c r="A145" s="76" t="str">
        <f t="shared" si="8"/>
        <v/>
      </c>
      <c r="B145" s="77"/>
      <c r="C145" s="76" t="str">
        <f>IF($B145="","",$B145-Dashboard!$B$3+1)</f>
        <v/>
      </c>
      <c r="D145" s="78"/>
      <c r="E145" s="78"/>
      <c r="F145" s="78"/>
      <c r="G145" s="78"/>
      <c r="H145" s="79"/>
      <c r="I145" s="79"/>
      <c r="J145" s="78"/>
      <c r="K145" s="78"/>
      <c r="L145" s="78"/>
      <c r="M145" s="79"/>
      <c r="N145" s="78"/>
      <c r="O145" s="78"/>
      <c r="P145" s="78"/>
      <c r="Q145" s="76" t="str">
        <f t="shared" si="9"/>
        <v/>
      </c>
      <c r="R145" s="78"/>
    </row>
    <row r="146" spans="1:18" x14ac:dyDescent="0.3">
      <c r="A146" s="76" t="str">
        <f t="shared" si="8"/>
        <v/>
      </c>
      <c r="B146" s="77"/>
      <c r="C146" s="76" t="str">
        <f>IF($B146="","",$B146-Dashboard!$B$3+1)</f>
        <v/>
      </c>
      <c r="D146" s="78"/>
      <c r="E146" s="78"/>
      <c r="F146" s="78"/>
      <c r="G146" s="78"/>
      <c r="H146" s="79"/>
      <c r="I146" s="79"/>
      <c r="J146" s="78"/>
      <c r="K146" s="78"/>
      <c r="L146" s="78"/>
      <c r="M146" s="79"/>
      <c r="N146" s="78"/>
      <c r="O146" s="78"/>
      <c r="P146" s="78"/>
      <c r="Q146" s="76" t="str">
        <f t="shared" si="9"/>
        <v/>
      </c>
      <c r="R146" s="78"/>
    </row>
    <row r="147" spans="1:18" x14ac:dyDescent="0.3">
      <c r="A147" s="76" t="str">
        <f t="shared" si="8"/>
        <v/>
      </c>
      <c r="B147" s="77"/>
      <c r="C147" s="76" t="str">
        <f>IF($B147="","",$B147-Dashboard!$B$3+1)</f>
        <v/>
      </c>
      <c r="D147" s="78"/>
      <c r="E147" s="78"/>
      <c r="F147" s="78"/>
      <c r="G147" s="78"/>
      <c r="H147" s="79"/>
      <c r="I147" s="79"/>
      <c r="J147" s="78"/>
      <c r="K147" s="78"/>
      <c r="L147" s="78"/>
      <c r="M147" s="79"/>
      <c r="N147" s="78"/>
      <c r="O147" s="78"/>
      <c r="P147" s="78"/>
      <c r="Q147" s="76" t="str">
        <f t="shared" si="9"/>
        <v/>
      </c>
      <c r="R147" s="78"/>
    </row>
    <row r="148" spans="1:18" x14ac:dyDescent="0.3">
      <c r="A148" s="76" t="str">
        <f t="shared" si="8"/>
        <v/>
      </c>
      <c r="B148" s="77"/>
      <c r="C148" s="76" t="str">
        <f>IF($B148="","",$B148-Dashboard!$B$3+1)</f>
        <v/>
      </c>
      <c r="D148" s="78"/>
      <c r="E148" s="78"/>
      <c r="F148" s="78"/>
      <c r="G148" s="78"/>
      <c r="H148" s="79"/>
      <c r="I148" s="79"/>
      <c r="J148" s="78"/>
      <c r="K148" s="78"/>
      <c r="L148" s="78"/>
      <c r="M148" s="79"/>
      <c r="N148" s="78"/>
      <c r="O148" s="78"/>
      <c r="P148" s="78"/>
      <c r="Q148" s="76" t="str">
        <f t="shared" si="9"/>
        <v/>
      </c>
      <c r="R148" s="78"/>
    </row>
    <row r="149" spans="1:18" x14ac:dyDescent="0.3">
      <c r="A149" s="76" t="str">
        <f t="shared" si="8"/>
        <v/>
      </c>
      <c r="B149" s="77"/>
      <c r="C149" s="76" t="str">
        <f>IF($B149="","",$B149-Dashboard!$B$3+1)</f>
        <v/>
      </c>
      <c r="D149" s="78"/>
      <c r="E149" s="78"/>
      <c r="F149" s="78"/>
      <c r="G149" s="78"/>
      <c r="H149" s="79"/>
      <c r="I149" s="79"/>
      <c r="J149" s="78"/>
      <c r="K149" s="78"/>
      <c r="L149" s="78"/>
      <c r="M149" s="79"/>
      <c r="N149" s="78"/>
      <c r="O149" s="78"/>
      <c r="P149" s="78"/>
      <c r="Q149" s="76" t="str">
        <f t="shared" si="9"/>
        <v/>
      </c>
      <c r="R149" s="78"/>
    </row>
    <row r="150" spans="1:18" x14ac:dyDescent="0.3">
      <c r="A150" s="76" t="str">
        <f t="shared" si="8"/>
        <v/>
      </c>
      <c r="B150" s="77"/>
      <c r="C150" s="76" t="str">
        <f>IF($B150="","",$B150-Dashboard!$B$3+1)</f>
        <v/>
      </c>
      <c r="D150" s="78"/>
      <c r="E150" s="78"/>
      <c r="F150" s="78"/>
      <c r="G150" s="78"/>
      <c r="H150" s="79"/>
      <c r="I150" s="79"/>
      <c r="J150" s="78"/>
      <c r="K150" s="78"/>
      <c r="L150" s="78"/>
      <c r="M150" s="79"/>
      <c r="N150" s="78"/>
      <c r="O150" s="78"/>
      <c r="P150" s="78"/>
      <c r="Q150" s="76" t="str">
        <f t="shared" si="9"/>
        <v/>
      </c>
      <c r="R150" s="78"/>
    </row>
    <row r="151" spans="1:18" x14ac:dyDescent="0.3">
      <c r="A151" s="76" t="str">
        <f t="shared" si="8"/>
        <v/>
      </c>
      <c r="B151" s="77"/>
      <c r="C151" s="76" t="str">
        <f>IF($B151="","",$B151-Dashboard!$B$3+1)</f>
        <v/>
      </c>
      <c r="D151" s="78"/>
      <c r="E151" s="78"/>
      <c r="F151" s="78"/>
      <c r="G151" s="78"/>
      <c r="H151" s="79"/>
      <c r="I151" s="79"/>
      <c r="J151" s="78"/>
      <c r="K151" s="78"/>
      <c r="L151" s="78"/>
      <c r="M151" s="79"/>
      <c r="N151" s="78"/>
      <c r="O151" s="78"/>
      <c r="P151" s="78"/>
      <c r="Q151" s="76" t="str">
        <f t="shared" si="9"/>
        <v/>
      </c>
      <c r="R151" s="78"/>
    </row>
    <row r="152" spans="1:18" x14ac:dyDescent="0.3">
      <c r="A152" s="76" t="str">
        <f t="shared" si="8"/>
        <v/>
      </c>
      <c r="B152" s="77"/>
      <c r="C152" s="76" t="str">
        <f>IF($B152="","",$B152-Dashboard!$B$3+1)</f>
        <v/>
      </c>
      <c r="D152" s="78"/>
      <c r="E152" s="78"/>
      <c r="F152" s="78"/>
      <c r="G152" s="78"/>
      <c r="H152" s="79"/>
      <c r="I152" s="79"/>
      <c r="J152" s="78"/>
      <c r="K152" s="78"/>
      <c r="L152" s="78"/>
      <c r="M152" s="79"/>
      <c r="N152" s="78"/>
      <c r="O152" s="78"/>
      <c r="P152" s="78"/>
      <c r="Q152" s="76" t="str">
        <f t="shared" si="9"/>
        <v/>
      </c>
      <c r="R152" s="78"/>
    </row>
    <row r="153" spans="1:18" x14ac:dyDescent="0.3">
      <c r="A153" s="76" t="str">
        <f t="shared" si="8"/>
        <v/>
      </c>
      <c r="B153" s="77"/>
      <c r="C153" s="76" t="str">
        <f>IF($B153="","",$B153-Dashboard!$B$3+1)</f>
        <v/>
      </c>
      <c r="D153" s="78"/>
      <c r="E153" s="78"/>
      <c r="F153" s="78"/>
      <c r="G153" s="78"/>
      <c r="H153" s="79"/>
      <c r="I153" s="79"/>
      <c r="J153" s="78"/>
      <c r="K153" s="78"/>
      <c r="L153" s="78"/>
      <c r="M153" s="79"/>
      <c r="N153" s="78"/>
      <c r="O153" s="78"/>
      <c r="P153" s="78"/>
      <c r="Q153" s="76" t="str">
        <f t="shared" si="9"/>
        <v/>
      </c>
      <c r="R153" s="78"/>
    </row>
    <row r="154" spans="1:18" x14ac:dyDescent="0.3">
      <c r="A154" s="76" t="str">
        <f t="shared" si="8"/>
        <v/>
      </c>
      <c r="B154" s="77"/>
      <c r="C154" s="76" t="str">
        <f>IF($B154="","",$B154-Dashboard!$B$3+1)</f>
        <v/>
      </c>
      <c r="D154" s="78"/>
      <c r="E154" s="78"/>
      <c r="F154" s="78"/>
      <c r="G154" s="78"/>
      <c r="H154" s="79"/>
      <c r="I154" s="79"/>
      <c r="J154" s="78"/>
      <c r="K154" s="78"/>
      <c r="L154" s="78"/>
      <c r="M154" s="79"/>
      <c r="N154" s="78"/>
      <c r="O154" s="78"/>
      <c r="P154" s="78"/>
      <c r="Q154" s="76" t="str">
        <f t="shared" si="9"/>
        <v/>
      </c>
      <c r="R154" s="78"/>
    </row>
    <row r="155" spans="1:18" x14ac:dyDescent="0.3">
      <c r="A155" s="76" t="str">
        <f t="shared" si="8"/>
        <v/>
      </c>
      <c r="B155" s="77"/>
      <c r="C155" s="76" t="str">
        <f>IF($B155="","",$B155-Dashboard!$B$3+1)</f>
        <v/>
      </c>
      <c r="D155" s="78"/>
      <c r="E155" s="78"/>
      <c r="F155" s="78"/>
      <c r="G155" s="78"/>
      <c r="H155" s="79"/>
      <c r="I155" s="79"/>
      <c r="J155" s="78"/>
      <c r="K155" s="78"/>
      <c r="L155" s="78"/>
      <c r="M155" s="79"/>
      <c r="N155" s="78"/>
      <c r="O155" s="78"/>
      <c r="P155" s="78"/>
      <c r="Q155" s="76" t="str">
        <f t="shared" si="9"/>
        <v/>
      </c>
      <c r="R155" s="78"/>
    </row>
    <row r="156" spans="1:18" x14ac:dyDescent="0.3">
      <c r="A156" s="76" t="str">
        <f t="shared" si="8"/>
        <v/>
      </c>
      <c r="B156" s="77"/>
      <c r="C156" s="76" t="str">
        <f>IF($B156="","",$B156-Dashboard!$B$3+1)</f>
        <v/>
      </c>
      <c r="D156" s="78"/>
      <c r="E156" s="78"/>
      <c r="F156" s="78"/>
      <c r="G156" s="78"/>
      <c r="H156" s="79"/>
      <c r="I156" s="79"/>
      <c r="J156" s="78"/>
      <c r="K156" s="78"/>
      <c r="L156" s="78"/>
      <c r="M156" s="79"/>
      <c r="N156" s="78"/>
      <c r="O156" s="78"/>
      <c r="P156" s="78"/>
      <c r="Q156" s="76" t="str">
        <f t="shared" si="9"/>
        <v/>
      </c>
      <c r="R156" s="78"/>
    </row>
    <row r="157" spans="1:18" x14ac:dyDescent="0.3">
      <c r="A157" s="76" t="str">
        <f t="shared" si="8"/>
        <v/>
      </c>
      <c r="B157" s="77"/>
      <c r="C157" s="76" t="str">
        <f>IF($B157="","",$B157-Dashboard!$B$3+1)</f>
        <v/>
      </c>
      <c r="D157" s="78"/>
      <c r="E157" s="78"/>
      <c r="F157" s="78"/>
      <c r="G157" s="78"/>
      <c r="H157" s="79"/>
      <c r="I157" s="79"/>
      <c r="J157" s="78"/>
      <c r="K157" s="78"/>
      <c r="L157" s="78"/>
      <c r="M157" s="79"/>
      <c r="N157" s="78"/>
      <c r="O157" s="78"/>
      <c r="P157" s="78"/>
      <c r="Q157" s="76" t="str">
        <f t="shared" si="9"/>
        <v/>
      </c>
      <c r="R157" s="78"/>
    </row>
    <row r="158" spans="1:18" x14ac:dyDescent="0.3">
      <c r="A158" s="76" t="str">
        <f t="shared" si="8"/>
        <v/>
      </c>
      <c r="B158" s="77"/>
      <c r="C158" s="76" t="str">
        <f>IF($B158="","",$B158-Dashboard!$B$3+1)</f>
        <v/>
      </c>
      <c r="D158" s="78"/>
      <c r="E158" s="78"/>
      <c r="F158" s="78"/>
      <c r="G158" s="78"/>
      <c r="H158" s="79"/>
      <c r="I158" s="79"/>
      <c r="J158" s="78"/>
      <c r="K158" s="78"/>
      <c r="L158" s="78"/>
      <c r="M158" s="79"/>
      <c r="N158" s="78"/>
      <c r="O158" s="78"/>
      <c r="P158" s="78"/>
      <c r="Q158" s="76" t="str">
        <f t="shared" si="9"/>
        <v/>
      </c>
      <c r="R158" s="78"/>
    </row>
    <row r="159" spans="1:18" x14ac:dyDescent="0.3">
      <c r="A159" s="76" t="str">
        <f t="shared" si="8"/>
        <v/>
      </c>
      <c r="B159" s="77"/>
      <c r="C159" s="76" t="str">
        <f>IF($B159="","",$B159-Dashboard!$B$3+1)</f>
        <v/>
      </c>
      <c r="D159" s="78"/>
      <c r="E159" s="78"/>
      <c r="F159" s="78"/>
      <c r="G159" s="78"/>
      <c r="H159" s="79"/>
      <c r="I159" s="79"/>
      <c r="J159" s="78"/>
      <c r="K159" s="78"/>
      <c r="L159" s="78"/>
      <c r="M159" s="79"/>
      <c r="N159" s="78"/>
      <c r="O159" s="78"/>
      <c r="P159" s="78"/>
      <c r="Q159" s="76" t="str">
        <f t="shared" si="9"/>
        <v/>
      </c>
      <c r="R159" s="78"/>
    </row>
    <row r="160" spans="1:18" x14ac:dyDescent="0.3">
      <c r="A160" s="76" t="str">
        <f t="shared" si="8"/>
        <v/>
      </c>
      <c r="B160" s="77"/>
      <c r="C160" s="76" t="str">
        <f>IF($B160="","",$B160-Dashboard!$B$3+1)</f>
        <v/>
      </c>
      <c r="D160" s="78"/>
      <c r="E160" s="78"/>
      <c r="F160" s="78"/>
      <c r="G160" s="78"/>
      <c r="H160" s="79"/>
      <c r="I160" s="79"/>
      <c r="J160" s="78"/>
      <c r="K160" s="78"/>
      <c r="L160" s="78"/>
      <c r="M160" s="79"/>
      <c r="N160" s="78"/>
      <c r="O160" s="78"/>
      <c r="P160" s="78"/>
      <c r="Q160" s="76" t="str">
        <f t="shared" si="9"/>
        <v/>
      </c>
      <c r="R160" s="78"/>
    </row>
    <row r="161" spans="1:18" x14ac:dyDescent="0.3">
      <c r="A161" s="76" t="str">
        <f t="shared" si="8"/>
        <v/>
      </c>
      <c r="B161" s="77"/>
      <c r="C161" s="76" t="str">
        <f>IF($B161="","",$B161-Dashboard!$B$3+1)</f>
        <v/>
      </c>
      <c r="D161" s="78"/>
      <c r="E161" s="78"/>
      <c r="F161" s="78"/>
      <c r="G161" s="78"/>
      <c r="H161" s="79"/>
      <c r="I161" s="79"/>
      <c r="J161" s="78"/>
      <c r="K161" s="78"/>
      <c r="L161" s="78"/>
      <c r="M161" s="79"/>
      <c r="N161" s="78"/>
      <c r="O161" s="78"/>
      <c r="P161" s="78"/>
      <c r="Q161" s="76" t="str">
        <f t="shared" si="9"/>
        <v/>
      </c>
      <c r="R161" s="78"/>
    </row>
    <row r="162" spans="1:18" x14ac:dyDescent="0.3">
      <c r="A162" s="76" t="str">
        <f t="shared" si="8"/>
        <v/>
      </c>
      <c r="B162" s="77"/>
      <c r="C162" s="76" t="str">
        <f>IF($B162="","",$B162-Dashboard!$B$3+1)</f>
        <v/>
      </c>
      <c r="D162" s="78"/>
      <c r="E162" s="78"/>
      <c r="F162" s="78"/>
      <c r="G162" s="78"/>
      <c r="H162" s="79"/>
      <c r="I162" s="79"/>
      <c r="J162" s="78"/>
      <c r="K162" s="78"/>
      <c r="L162" s="78"/>
      <c r="M162" s="79"/>
      <c r="N162" s="78"/>
      <c r="O162" s="78"/>
      <c r="P162" s="78"/>
      <c r="Q162" s="76" t="str">
        <f t="shared" si="9"/>
        <v/>
      </c>
      <c r="R162" s="78"/>
    </row>
    <row r="163" spans="1:18" x14ac:dyDescent="0.3">
      <c r="A163" s="76" t="str">
        <f t="shared" si="8"/>
        <v/>
      </c>
      <c r="B163" s="77"/>
      <c r="C163" s="76" t="str">
        <f>IF($B163="","",$B163-Dashboard!$B$3+1)</f>
        <v/>
      </c>
      <c r="D163" s="78"/>
      <c r="E163" s="78"/>
      <c r="F163" s="78"/>
      <c r="G163" s="78"/>
      <c r="H163" s="79"/>
      <c r="I163" s="79"/>
      <c r="J163" s="78"/>
      <c r="K163" s="78"/>
      <c r="L163" s="78"/>
      <c r="M163" s="79"/>
      <c r="N163" s="78"/>
      <c r="O163" s="78"/>
      <c r="P163" s="78"/>
      <c r="Q163" s="76" t="str">
        <f t="shared" si="9"/>
        <v/>
      </c>
      <c r="R163" s="78"/>
    </row>
    <row r="164" spans="1:18" x14ac:dyDescent="0.3">
      <c r="A164" s="76" t="str">
        <f t="shared" si="8"/>
        <v/>
      </c>
      <c r="B164" s="77"/>
      <c r="C164" s="76" t="str">
        <f>IF($B164="","",$B164-Dashboard!$B$3+1)</f>
        <v/>
      </c>
      <c r="D164" s="78"/>
      <c r="E164" s="78"/>
      <c r="F164" s="78"/>
      <c r="G164" s="78"/>
      <c r="H164" s="79"/>
      <c r="I164" s="79"/>
      <c r="J164" s="78"/>
      <c r="K164" s="78"/>
      <c r="L164" s="78"/>
      <c r="M164" s="79"/>
      <c r="N164" s="78"/>
      <c r="O164" s="78"/>
      <c r="P164" s="78"/>
      <c r="Q164" s="76" t="str">
        <f t="shared" si="9"/>
        <v/>
      </c>
      <c r="R164" s="78"/>
    </row>
    <row r="165" spans="1:18" x14ac:dyDescent="0.3">
      <c r="A165" s="76" t="str">
        <f t="shared" si="8"/>
        <v/>
      </c>
      <c r="B165" s="77"/>
      <c r="C165" s="76" t="str">
        <f>IF($B165="","",$B165-Dashboard!$B$3+1)</f>
        <v/>
      </c>
      <c r="D165" s="78"/>
      <c r="E165" s="78"/>
      <c r="F165" s="78"/>
      <c r="G165" s="78"/>
      <c r="H165" s="79"/>
      <c r="I165" s="79"/>
      <c r="J165" s="78"/>
      <c r="K165" s="78"/>
      <c r="L165" s="78"/>
      <c r="M165" s="79"/>
      <c r="N165" s="78"/>
      <c r="O165" s="78"/>
      <c r="P165" s="78"/>
      <c r="Q165" s="76" t="str">
        <f t="shared" si="9"/>
        <v/>
      </c>
      <c r="R165" s="78"/>
    </row>
    <row r="166" spans="1:18" x14ac:dyDescent="0.3">
      <c r="A166" s="76" t="str">
        <f t="shared" si="8"/>
        <v/>
      </c>
      <c r="B166" s="77"/>
      <c r="C166" s="76" t="str">
        <f>IF($B166="","",$B166-Dashboard!$B$3+1)</f>
        <v/>
      </c>
      <c r="D166" s="78"/>
      <c r="E166" s="78"/>
      <c r="F166" s="78"/>
      <c r="G166" s="78"/>
      <c r="H166" s="79"/>
      <c r="I166" s="79"/>
      <c r="J166" s="78"/>
      <c r="K166" s="78"/>
      <c r="L166" s="78"/>
      <c r="M166" s="79"/>
      <c r="N166" s="78"/>
      <c r="O166" s="78"/>
      <c r="P166" s="78"/>
      <c r="Q166" s="76" t="str">
        <f t="shared" si="9"/>
        <v/>
      </c>
      <c r="R166" s="78"/>
    </row>
    <row r="167" spans="1:18" x14ac:dyDescent="0.3">
      <c r="A167" s="76" t="str">
        <f t="shared" ref="A167:A198" si="10">IF($B167="","",ROW()-4)</f>
        <v/>
      </c>
      <c r="B167" s="77"/>
      <c r="C167" s="76" t="str">
        <f>IF($B167="","",$B167-Dashboard!$B$3+1)</f>
        <v/>
      </c>
      <c r="D167" s="78"/>
      <c r="E167" s="78"/>
      <c r="F167" s="78"/>
      <c r="G167" s="78"/>
      <c r="H167" s="79"/>
      <c r="I167" s="79"/>
      <c r="J167" s="78"/>
      <c r="K167" s="78"/>
      <c r="L167" s="78"/>
      <c r="M167" s="79"/>
      <c r="N167" s="78"/>
      <c r="O167" s="78"/>
      <c r="P167" s="78"/>
      <c r="Q167" s="76" t="str">
        <f t="shared" ref="Q167:Q198" si="11">IF($B167="","",IFERROR($O167-$P167,0))</f>
        <v/>
      </c>
      <c r="R167" s="78"/>
    </row>
    <row r="168" spans="1:18" x14ac:dyDescent="0.3">
      <c r="A168" s="76" t="str">
        <f t="shared" si="10"/>
        <v/>
      </c>
      <c r="B168" s="77"/>
      <c r="C168" s="76" t="str">
        <f>IF($B168="","",$B168-Dashboard!$B$3+1)</f>
        <v/>
      </c>
      <c r="D168" s="78"/>
      <c r="E168" s="78"/>
      <c r="F168" s="78"/>
      <c r="G168" s="78"/>
      <c r="H168" s="79"/>
      <c r="I168" s="79"/>
      <c r="J168" s="78"/>
      <c r="K168" s="78"/>
      <c r="L168" s="78"/>
      <c r="M168" s="79"/>
      <c r="N168" s="78"/>
      <c r="O168" s="78"/>
      <c r="P168" s="78"/>
      <c r="Q168" s="76" t="str">
        <f t="shared" si="11"/>
        <v/>
      </c>
      <c r="R168" s="78"/>
    </row>
    <row r="169" spans="1:18" x14ac:dyDescent="0.3">
      <c r="A169" s="76" t="str">
        <f t="shared" si="10"/>
        <v/>
      </c>
      <c r="B169" s="77"/>
      <c r="C169" s="76" t="str">
        <f>IF($B169="","",$B169-Dashboard!$B$3+1)</f>
        <v/>
      </c>
      <c r="D169" s="78"/>
      <c r="E169" s="78"/>
      <c r="F169" s="78"/>
      <c r="G169" s="78"/>
      <c r="H169" s="79"/>
      <c r="I169" s="79"/>
      <c r="J169" s="78"/>
      <c r="K169" s="78"/>
      <c r="L169" s="78"/>
      <c r="M169" s="79"/>
      <c r="N169" s="78"/>
      <c r="O169" s="78"/>
      <c r="P169" s="78"/>
      <c r="Q169" s="76" t="str">
        <f t="shared" si="11"/>
        <v/>
      </c>
      <c r="R169" s="78"/>
    </row>
    <row r="170" spans="1:18" x14ac:dyDescent="0.3">
      <c r="A170" s="76" t="str">
        <f t="shared" si="10"/>
        <v/>
      </c>
      <c r="B170" s="77"/>
      <c r="C170" s="76" t="str">
        <f>IF($B170="","",$B170-Dashboard!$B$3+1)</f>
        <v/>
      </c>
      <c r="D170" s="78"/>
      <c r="E170" s="78"/>
      <c r="F170" s="78"/>
      <c r="G170" s="78"/>
      <c r="H170" s="79"/>
      <c r="I170" s="79"/>
      <c r="J170" s="78"/>
      <c r="K170" s="78"/>
      <c r="L170" s="78"/>
      <c r="M170" s="79"/>
      <c r="N170" s="78"/>
      <c r="O170" s="78"/>
      <c r="P170" s="78"/>
      <c r="Q170" s="76" t="str">
        <f t="shared" si="11"/>
        <v/>
      </c>
      <c r="R170" s="78"/>
    </row>
    <row r="171" spans="1:18" x14ac:dyDescent="0.3">
      <c r="A171" s="76" t="str">
        <f t="shared" si="10"/>
        <v/>
      </c>
      <c r="B171" s="77"/>
      <c r="C171" s="76" t="str">
        <f>IF($B171="","",$B171-Dashboard!$B$3+1)</f>
        <v/>
      </c>
      <c r="D171" s="78"/>
      <c r="E171" s="78"/>
      <c r="F171" s="78"/>
      <c r="G171" s="78"/>
      <c r="H171" s="79"/>
      <c r="I171" s="79"/>
      <c r="J171" s="78"/>
      <c r="K171" s="78"/>
      <c r="L171" s="78"/>
      <c r="M171" s="79"/>
      <c r="N171" s="78"/>
      <c r="O171" s="78"/>
      <c r="P171" s="78"/>
      <c r="Q171" s="76" t="str">
        <f t="shared" si="11"/>
        <v/>
      </c>
      <c r="R171" s="78"/>
    </row>
    <row r="172" spans="1:18" x14ac:dyDescent="0.3">
      <c r="A172" s="76" t="str">
        <f t="shared" si="10"/>
        <v/>
      </c>
      <c r="B172" s="77"/>
      <c r="C172" s="76" t="str">
        <f>IF($B172="","",$B172-Dashboard!$B$3+1)</f>
        <v/>
      </c>
      <c r="D172" s="78"/>
      <c r="E172" s="78"/>
      <c r="F172" s="78"/>
      <c r="G172" s="78"/>
      <c r="H172" s="79"/>
      <c r="I172" s="79"/>
      <c r="J172" s="78"/>
      <c r="K172" s="78"/>
      <c r="L172" s="78"/>
      <c r="M172" s="79"/>
      <c r="N172" s="78"/>
      <c r="O172" s="78"/>
      <c r="P172" s="78"/>
      <c r="Q172" s="76" t="str">
        <f t="shared" si="11"/>
        <v/>
      </c>
      <c r="R172" s="78"/>
    </row>
    <row r="173" spans="1:18" x14ac:dyDescent="0.3">
      <c r="A173" s="76" t="str">
        <f t="shared" si="10"/>
        <v/>
      </c>
      <c r="B173" s="77"/>
      <c r="C173" s="76" t="str">
        <f>IF($B173="","",$B173-Dashboard!$B$3+1)</f>
        <v/>
      </c>
      <c r="D173" s="78"/>
      <c r="E173" s="78"/>
      <c r="F173" s="78"/>
      <c r="G173" s="78"/>
      <c r="H173" s="79"/>
      <c r="I173" s="79"/>
      <c r="J173" s="78"/>
      <c r="K173" s="78"/>
      <c r="L173" s="78"/>
      <c r="M173" s="79"/>
      <c r="N173" s="78"/>
      <c r="O173" s="78"/>
      <c r="P173" s="78"/>
      <c r="Q173" s="76" t="str">
        <f t="shared" si="11"/>
        <v/>
      </c>
      <c r="R173" s="78"/>
    </row>
    <row r="174" spans="1:18" x14ac:dyDescent="0.3">
      <c r="A174" s="76" t="str">
        <f t="shared" si="10"/>
        <v/>
      </c>
      <c r="B174" s="77"/>
      <c r="C174" s="76" t="str">
        <f>IF($B174="","",$B174-Dashboard!$B$3+1)</f>
        <v/>
      </c>
      <c r="D174" s="78"/>
      <c r="E174" s="78"/>
      <c r="F174" s="78"/>
      <c r="G174" s="78"/>
      <c r="H174" s="79"/>
      <c r="I174" s="79"/>
      <c r="J174" s="78"/>
      <c r="K174" s="78"/>
      <c r="L174" s="78"/>
      <c r="M174" s="79"/>
      <c r="N174" s="78"/>
      <c r="O174" s="78"/>
      <c r="P174" s="78"/>
      <c r="Q174" s="76" t="str">
        <f t="shared" si="11"/>
        <v/>
      </c>
      <c r="R174" s="78"/>
    </row>
    <row r="175" spans="1:18" x14ac:dyDescent="0.3">
      <c r="A175" s="76" t="str">
        <f t="shared" si="10"/>
        <v/>
      </c>
      <c r="B175" s="77"/>
      <c r="C175" s="76" t="str">
        <f>IF($B175="","",$B175-Dashboard!$B$3+1)</f>
        <v/>
      </c>
      <c r="D175" s="78"/>
      <c r="E175" s="78"/>
      <c r="F175" s="78"/>
      <c r="G175" s="78"/>
      <c r="H175" s="79"/>
      <c r="I175" s="79"/>
      <c r="J175" s="78"/>
      <c r="K175" s="78"/>
      <c r="L175" s="78"/>
      <c r="M175" s="79"/>
      <c r="N175" s="78"/>
      <c r="O175" s="78"/>
      <c r="P175" s="78"/>
      <c r="Q175" s="76" t="str">
        <f t="shared" si="11"/>
        <v/>
      </c>
      <c r="R175" s="78"/>
    </row>
    <row r="176" spans="1:18" x14ac:dyDescent="0.3">
      <c r="A176" s="76" t="str">
        <f t="shared" si="10"/>
        <v/>
      </c>
      <c r="B176" s="77"/>
      <c r="C176" s="76" t="str">
        <f>IF($B176="","",$B176-Dashboard!$B$3+1)</f>
        <v/>
      </c>
      <c r="D176" s="78"/>
      <c r="E176" s="78"/>
      <c r="F176" s="78"/>
      <c r="G176" s="78"/>
      <c r="H176" s="79"/>
      <c r="I176" s="79"/>
      <c r="J176" s="78"/>
      <c r="K176" s="78"/>
      <c r="L176" s="78"/>
      <c r="M176" s="79"/>
      <c r="N176" s="78"/>
      <c r="O176" s="78"/>
      <c r="P176" s="78"/>
      <c r="Q176" s="76" t="str">
        <f t="shared" si="11"/>
        <v/>
      </c>
      <c r="R176" s="78"/>
    </row>
    <row r="177" spans="1:18" x14ac:dyDescent="0.3">
      <c r="A177" s="76" t="str">
        <f t="shared" si="10"/>
        <v/>
      </c>
      <c r="B177" s="77"/>
      <c r="C177" s="76" t="str">
        <f>IF($B177="","",$B177-Dashboard!$B$3+1)</f>
        <v/>
      </c>
      <c r="D177" s="78"/>
      <c r="E177" s="78"/>
      <c r="F177" s="78"/>
      <c r="G177" s="78"/>
      <c r="H177" s="79"/>
      <c r="I177" s="79"/>
      <c r="J177" s="78"/>
      <c r="K177" s="78"/>
      <c r="L177" s="78"/>
      <c r="M177" s="79"/>
      <c r="N177" s="78"/>
      <c r="O177" s="78"/>
      <c r="P177" s="78"/>
      <c r="Q177" s="76" t="str">
        <f t="shared" si="11"/>
        <v/>
      </c>
      <c r="R177" s="78"/>
    </row>
    <row r="178" spans="1:18" x14ac:dyDescent="0.3">
      <c r="A178" s="76" t="str">
        <f t="shared" si="10"/>
        <v/>
      </c>
      <c r="B178" s="77"/>
      <c r="C178" s="76" t="str">
        <f>IF($B178="","",$B178-Dashboard!$B$3+1)</f>
        <v/>
      </c>
      <c r="D178" s="78"/>
      <c r="E178" s="78"/>
      <c r="F178" s="78"/>
      <c r="G178" s="78"/>
      <c r="H178" s="79"/>
      <c r="I178" s="79"/>
      <c r="J178" s="78"/>
      <c r="K178" s="78"/>
      <c r="L178" s="78"/>
      <c r="M178" s="79"/>
      <c r="N178" s="78"/>
      <c r="O178" s="78"/>
      <c r="P178" s="78"/>
      <c r="Q178" s="76" t="str">
        <f t="shared" si="11"/>
        <v/>
      </c>
      <c r="R178" s="78"/>
    </row>
    <row r="179" spans="1:18" x14ac:dyDescent="0.3">
      <c r="A179" s="76" t="str">
        <f t="shared" si="10"/>
        <v/>
      </c>
      <c r="B179" s="77"/>
      <c r="C179" s="76" t="str">
        <f>IF($B179="","",$B179-Dashboard!$B$3+1)</f>
        <v/>
      </c>
      <c r="D179" s="78"/>
      <c r="E179" s="78"/>
      <c r="F179" s="78"/>
      <c r="G179" s="78"/>
      <c r="H179" s="79"/>
      <c r="I179" s="79"/>
      <c r="J179" s="78"/>
      <c r="K179" s="78"/>
      <c r="L179" s="78"/>
      <c r="M179" s="79"/>
      <c r="N179" s="78"/>
      <c r="O179" s="78"/>
      <c r="P179" s="78"/>
      <c r="Q179" s="76" t="str">
        <f t="shared" si="11"/>
        <v/>
      </c>
      <c r="R179" s="78"/>
    </row>
    <row r="180" spans="1:18" x14ac:dyDescent="0.3">
      <c r="A180" s="76" t="str">
        <f t="shared" si="10"/>
        <v/>
      </c>
      <c r="B180" s="77"/>
      <c r="C180" s="76" t="str">
        <f>IF($B180="","",$B180-Dashboard!$B$3+1)</f>
        <v/>
      </c>
      <c r="D180" s="78"/>
      <c r="E180" s="78"/>
      <c r="F180" s="78"/>
      <c r="G180" s="78"/>
      <c r="H180" s="79"/>
      <c r="I180" s="79"/>
      <c r="J180" s="78"/>
      <c r="K180" s="78"/>
      <c r="L180" s="78"/>
      <c r="M180" s="79"/>
      <c r="N180" s="78"/>
      <c r="O180" s="78"/>
      <c r="P180" s="78"/>
      <c r="Q180" s="76" t="str">
        <f t="shared" si="11"/>
        <v/>
      </c>
      <c r="R180" s="78"/>
    </row>
    <row r="181" spans="1:18" x14ac:dyDescent="0.3">
      <c r="A181" s="76" t="str">
        <f t="shared" si="10"/>
        <v/>
      </c>
      <c r="B181" s="77"/>
      <c r="C181" s="76" t="str">
        <f>IF($B181="","",$B181-Dashboard!$B$3+1)</f>
        <v/>
      </c>
      <c r="D181" s="78"/>
      <c r="E181" s="78"/>
      <c r="F181" s="78"/>
      <c r="G181" s="78"/>
      <c r="H181" s="79"/>
      <c r="I181" s="79"/>
      <c r="J181" s="78"/>
      <c r="K181" s="78"/>
      <c r="L181" s="78"/>
      <c r="M181" s="79"/>
      <c r="N181" s="78"/>
      <c r="O181" s="78"/>
      <c r="P181" s="78"/>
      <c r="Q181" s="76" t="str">
        <f t="shared" si="11"/>
        <v/>
      </c>
      <c r="R181" s="78"/>
    </row>
    <row r="182" spans="1:18" x14ac:dyDescent="0.3">
      <c r="A182" s="76" t="str">
        <f t="shared" si="10"/>
        <v/>
      </c>
      <c r="B182" s="77"/>
      <c r="C182" s="76" t="str">
        <f>IF($B182="","",$B182-Dashboard!$B$3+1)</f>
        <v/>
      </c>
      <c r="D182" s="78"/>
      <c r="E182" s="78"/>
      <c r="F182" s="78"/>
      <c r="G182" s="78"/>
      <c r="H182" s="79"/>
      <c r="I182" s="79"/>
      <c r="J182" s="78"/>
      <c r="K182" s="78"/>
      <c r="L182" s="78"/>
      <c r="M182" s="79"/>
      <c r="N182" s="78"/>
      <c r="O182" s="78"/>
      <c r="P182" s="78"/>
      <c r="Q182" s="76" t="str">
        <f t="shared" si="11"/>
        <v/>
      </c>
      <c r="R182" s="78"/>
    </row>
    <row r="183" spans="1:18" x14ac:dyDescent="0.3">
      <c r="A183" s="76" t="str">
        <f t="shared" si="10"/>
        <v/>
      </c>
      <c r="B183" s="77"/>
      <c r="C183" s="76" t="str">
        <f>IF($B183="","",$B183-Dashboard!$B$3+1)</f>
        <v/>
      </c>
      <c r="D183" s="78"/>
      <c r="E183" s="78"/>
      <c r="F183" s="78"/>
      <c r="G183" s="78"/>
      <c r="H183" s="79"/>
      <c r="I183" s="79"/>
      <c r="J183" s="78"/>
      <c r="K183" s="78"/>
      <c r="L183" s="78"/>
      <c r="M183" s="79"/>
      <c r="N183" s="78"/>
      <c r="O183" s="78"/>
      <c r="P183" s="78"/>
      <c r="Q183" s="76" t="str">
        <f t="shared" si="11"/>
        <v/>
      </c>
      <c r="R183" s="78"/>
    </row>
    <row r="184" spans="1:18" x14ac:dyDescent="0.3">
      <c r="A184" s="76" t="str">
        <f t="shared" si="10"/>
        <v/>
      </c>
      <c r="B184" s="77"/>
      <c r="C184" s="76" t="str">
        <f>IF($B184="","",$B184-Dashboard!$B$3+1)</f>
        <v/>
      </c>
      <c r="D184" s="78"/>
      <c r="E184" s="78"/>
      <c r="F184" s="78"/>
      <c r="G184" s="78"/>
      <c r="H184" s="79"/>
      <c r="I184" s="79"/>
      <c r="J184" s="78"/>
      <c r="K184" s="78"/>
      <c r="L184" s="78"/>
      <c r="M184" s="79"/>
      <c r="N184" s="78"/>
      <c r="O184" s="78"/>
      <c r="P184" s="78"/>
      <c r="Q184" s="76" t="str">
        <f t="shared" si="11"/>
        <v/>
      </c>
      <c r="R184" s="78"/>
    </row>
    <row r="185" spans="1:18" x14ac:dyDescent="0.3">
      <c r="A185" s="76" t="str">
        <f t="shared" si="10"/>
        <v/>
      </c>
      <c r="B185" s="77"/>
      <c r="C185" s="76" t="str">
        <f>IF($B185="","",$B185-Dashboard!$B$3+1)</f>
        <v/>
      </c>
      <c r="D185" s="78"/>
      <c r="E185" s="78"/>
      <c r="F185" s="78"/>
      <c r="G185" s="78"/>
      <c r="H185" s="79"/>
      <c r="I185" s="79"/>
      <c r="J185" s="78"/>
      <c r="K185" s="78"/>
      <c r="L185" s="78"/>
      <c r="M185" s="79"/>
      <c r="N185" s="78"/>
      <c r="O185" s="78"/>
      <c r="P185" s="78"/>
      <c r="Q185" s="76" t="str">
        <f t="shared" si="11"/>
        <v/>
      </c>
      <c r="R185" s="78"/>
    </row>
    <row r="186" spans="1:18" x14ac:dyDescent="0.3">
      <c r="A186" s="76" t="str">
        <f t="shared" si="10"/>
        <v/>
      </c>
      <c r="B186" s="77"/>
      <c r="C186" s="76" t="str">
        <f>IF($B186="","",$B186-Dashboard!$B$3+1)</f>
        <v/>
      </c>
      <c r="D186" s="78"/>
      <c r="E186" s="78"/>
      <c r="F186" s="78"/>
      <c r="G186" s="78"/>
      <c r="H186" s="79"/>
      <c r="I186" s="79"/>
      <c r="J186" s="78"/>
      <c r="K186" s="78"/>
      <c r="L186" s="78"/>
      <c r="M186" s="79"/>
      <c r="N186" s="78"/>
      <c r="O186" s="78"/>
      <c r="P186" s="78"/>
      <c r="Q186" s="76" t="str">
        <f t="shared" si="11"/>
        <v/>
      </c>
      <c r="R186" s="78"/>
    </row>
    <row r="187" spans="1:18" x14ac:dyDescent="0.3">
      <c r="A187" s="76" t="str">
        <f t="shared" si="10"/>
        <v/>
      </c>
      <c r="B187" s="77"/>
      <c r="C187" s="76" t="str">
        <f>IF($B187="","",$B187-Dashboard!$B$3+1)</f>
        <v/>
      </c>
      <c r="D187" s="78"/>
      <c r="E187" s="78"/>
      <c r="F187" s="78"/>
      <c r="G187" s="78"/>
      <c r="H187" s="79"/>
      <c r="I187" s="79"/>
      <c r="J187" s="78"/>
      <c r="K187" s="78"/>
      <c r="L187" s="78"/>
      <c r="M187" s="79"/>
      <c r="N187" s="78"/>
      <c r="O187" s="78"/>
      <c r="P187" s="78"/>
      <c r="Q187" s="76" t="str">
        <f t="shared" si="11"/>
        <v/>
      </c>
      <c r="R187" s="78"/>
    </row>
    <row r="188" spans="1:18" x14ac:dyDescent="0.3">
      <c r="A188" s="76" t="str">
        <f t="shared" si="10"/>
        <v/>
      </c>
      <c r="B188" s="77"/>
      <c r="C188" s="76" t="str">
        <f>IF($B188="","",$B188-Dashboard!$B$3+1)</f>
        <v/>
      </c>
      <c r="D188" s="78"/>
      <c r="E188" s="78"/>
      <c r="F188" s="78"/>
      <c r="G188" s="78"/>
      <c r="H188" s="79"/>
      <c r="I188" s="79"/>
      <c r="J188" s="78"/>
      <c r="K188" s="78"/>
      <c r="L188" s="78"/>
      <c r="M188" s="79"/>
      <c r="N188" s="78"/>
      <c r="O188" s="78"/>
      <c r="P188" s="78"/>
      <c r="Q188" s="76" t="str">
        <f t="shared" si="11"/>
        <v/>
      </c>
      <c r="R188" s="78"/>
    </row>
    <row r="189" spans="1:18" x14ac:dyDescent="0.3">
      <c r="A189" s="76" t="str">
        <f t="shared" si="10"/>
        <v/>
      </c>
      <c r="B189" s="77"/>
      <c r="C189" s="76" t="str">
        <f>IF($B189="","",$B189-Dashboard!$B$3+1)</f>
        <v/>
      </c>
      <c r="D189" s="78"/>
      <c r="E189" s="78"/>
      <c r="F189" s="78"/>
      <c r="G189" s="78"/>
      <c r="H189" s="79"/>
      <c r="I189" s="79"/>
      <c r="J189" s="78"/>
      <c r="K189" s="78"/>
      <c r="L189" s="78"/>
      <c r="M189" s="79"/>
      <c r="N189" s="78"/>
      <c r="O189" s="78"/>
      <c r="P189" s="78"/>
      <c r="Q189" s="76" t="str">
        <f t="shared" si="11"/>
        <v/>
      </c>
      <c r="R189" s="78"/>
    </row>
    <row r="190" spans="1:18" x14ac:dyDescent="0.3">
      <c r="A190" s="76" t="str">
        <f t="shared" si="10"/>
        <v/>
      </c>
      <c r="B190" s="77"/>
      <c r="C190" s="76" t="str">
        <f>IF($B190="","",$B190-Dashboard!$B$3+1)</f>
        <v/>
      </c>
      <c r="D190" s="78"/>
      <c r="E190" s="78"/>
      <c r="F190" s="78"/>
      <c r="G190" s="78"/>
      <c r="H190" s="79"/>
      <c r="I190" s="79"/>
      <c r="J190" s="78"/>
      <c r="K190" s="78"/>
      <c r="L190" s="78"/>
      <c r="M190" s="79"/>
      <c r="N190" s="78"/>
      <c r="O190" s="78"/>
      <c r="P190" s="78"/>
      <c r="Q190" s="76" t="str">
        <f t="shared" si="11"/>
        <v/>
      </c>
      <c r="R190" s="78"/>
    </row>
    <row r="191" spans="1:18" x14ac:dyDescent="0.3">
      <c r="A191" s="76" t="str">
        <f t="shared" si="10"/>
        <v/>
      </c>
      <c r="B191" s="77"/>
      <c r="C191" s="76" t="str">
        <f>IF($B191="","",$B191-Dashboard!$B$3+1)</f>
        <v/>
      </c>
      <c r="D191" s="78"/>
      <c r="E191" s="78"/>
      <c r="F191" s="78"/>
      <c r="G191" s="78"/>
      <c r="H191" s="79"/>
      <c r="I191" s="79"/>
      <c r="J191" s="78"/>
      <c r="K191" s="78"/>
      <c r="L191" s="78"/>
      <c r="M191" s="79"/>
      <c r="N191" s="78"/>
      <c r="O191" s="78"/>
      <c r="P191" s="78"/>
      <c r="Q191" s="76" t="str">
        <f t="shared" si="11"/>
        <v/>
      </c>
      <c r="R191" s="78"/>
    </row>
    <row r="192" spans="1:18" x14ac:dyDescent="0.3">
      <c r="A192" s="76" t="str">
        <f t="shared" si="10"/>
        <v/>
      </c>
      <c r="B192" s="77"/>
      <c r="C192" s="76" t="str">
        <f>IF($B192="","",$B192-Dashboard!$B$3+1)</f>
        <v/>
      </c>
      <c r="D192" s="78"/>
      <c r="E192" s="78"/>
      <c r="F192" s="78"/>
      <c r="G192" s="78"/>
      <c r="H192" s="79"/>
      <c r="I192" s="79"/>
      <c r="J192" s="78"/>
      <c r="K192" s="78"/>
      <c r="L192" s="78"/>
      <c r="M192" s="79"/>
      <c r="N192" s="78"/>
      <c r="O192" s="78"/>
      <c r="P192" s="78"/>
      <c r="Q192" s="76" t="str">
        <f t="shared" si="11"/>
        <v/>
      </c>
      <c r="R192" s="78"/>
    </row>
    <row r="193" spans="1:18" x14ac:dyDescent="0.3">
      <c r="A193" s="76" t="str">
        <f t="shared" si="10"/>
        <v/>
      </c>
      <c r="B193" s="77"/>
      <c r="C193" s="76" t="str">
        <f>IF($B193="","",$B193-Dashboard!$B$3+1)</f>
        <v/>
      </c>
      <c r="D193" s="78"/>
      <c r="E193" s="78"/>
      <c r="F193" s="78"/>
      <c r="G193" s="78"/>
      <c r="H193" s="79"/>
      <c r="I193" s="79"/>
      <c r="J193" s="78"/>
      <c r="K193" s="78"/>
      <c r="L193" s="78"/>
      <c r="M193" s="79"/>
      <c r="N193" s="78"/>
      <c r="O193" s="78"/>
      <c r="P193" s="78"/>
      <c r="Q193" s="76" t="str">
        <f t="shared" si="11"/>
        <v/>
      </c>
      <c r="R193" s="78"/>
    </row>
    <row r="194" spans="1:18" x14ac:dyDescent="0.3">
      <c r="A194" s="76" t="str">
        <f t="shared" si="10"/>
        <v/>
      </c>
      <c r="B194" s="77"/>
      <c r="C194" s="76" t="str">
        <f>IF($B194="","",$B194-Dashboard!$B$3+1)</f>
        <v/>
      </c>
      <c r="D194" s="78"/>
      <c r="E194" s="78"/>
      <c r="F194" s="78"/>
      <c r="G194" s="78"/>
      <c r="H194" s="79"/>
      <c r="I194" s="79"/>
      <c r="J194" s="78"/>
      <c r="K194" s="78"/>
      <c r="L194" s="78"/>
      <c r="M194" s="79"/>
      <c r="N194" s="78"/>
      <c r="O194" s="78"/>
      <c r="P194" s="78"/>
      <c r="Q194" s="76" t="str">
        <f t="shared" si="11"/>
        <v/>
      </c>
      <c r="R194" s="78"/>
    </row>
    <row r="195" spans="1:18" x14ac:dyDescent="0.3">
      <c r="A195" s="76" t="str">
        <f t="shared" si="10"/>
        <v/>
      </c>
      <c r="B195" s="77"/>
      <c r="C195" s="76" t="str">
        <f>IF($B195="","",$B195-Dashboard!$B$3+1)</f>
        <v/>
      </c>
      <c r="D195" s="78"/>
      <c r="E195" s="78"/>
      <c r="F195" s="78"/>
      <c r="G195" s="78"/>
      <c r="H195" s="79"/>
      <c r="I195" s="79"/>
      <c r="J195" s="78"/>
      <c r="K195" s="78"/>
      <c r="L195" s="78"/>
      <c r="M195" s="79"/>
      <c r="N195" s="78"/>
      <c r="O195" s="78"/>
      <c r="P195" s="78"/>
      <c r="Q195" s="76" t="str">
        <f t="shared" si="11"/>
        <v/>
      </c>
      <c r="R195" s="78"/>
    </row>
    <row r="196" spans="1:18" x14ac:dyDescent="0.3">
      <c r="A196" s="76" t="str">
        <f t="shared" si="10"/>
        <v/>
      </c>
      <c r="B196" s="77"/>
      <c r="C196" s="76" t="str">
        <f>IF($B196="","",$B196-Dashboard!$B$3+1)</f>
        <v/>
      </c>
      <c r="D196" s="78"/>
      <c r="E196" s="78"/>
      <c r="F196" s="78"/>
      <c r="G196" s="78"/>
      <c r="H196" s="79"/>
      <c r="I196" s="79"/>
      <c r="J196" s="78"/>
      <c r="K196" s="78"/>
      <c r="L196" s="78"/>
      <c r="M196" s="79"/>
      <c r="N196" s="78"/>
      <c r="O196" s="78"/>
      <c r="P196" s="78"/>
      <c r="Q196" s="76" t="str">
        <f t="shared" si="11"/>
        <v/>
      </c>
      <c r="R196" s="78"/>
    </row>
    <row r="197" spans="1:18" x14ac:dyDescent="0.3">
      <c r="A197" s="76" t="str">
        <f t="shared" si="10"/>
        <v/>
      </c>
      <c r="B197" s="77"/>
      <c r="C197" s="76" t="str">
        <f>IF($B197="","",$B197-Dashboard!$B$3+1)</f>
        <v/>
      </c>
      <c r="D197" s="78"/>
      <c r="E197" s="78"/>
      <c r="F197" s="78"/>
      <c r="G197" s="78"/>
      <c r="H197" s="79"/>
      <c r="I197" s="79"/>
      <c r="J197" s="78"/>
      <c r="K197" s="78"/>
      <c r="L197" s="78"/>
      <c r="M197" s="79"/>
      <c r="N197" s="78"/>
      <c r="O197" s="78"/>
      <c r="P197" s="78"/>
      <c r="Q197" s="76" t="str">
        <f t="shared" si="11"/>
        <v/>
      </c>
      <c r="R197" s="78"/>
    </row>
    <row r="198" spans="1:18" x14ac:dyDescent="0.3">
      <c r="A198" s="76" t="str">
        <f t="shared" si="10"/>
        <v/>
      </c>
      <c r="B198" s="77"/>
      <c r="C198" s="76" t="str">
        <f>IF($B198="","",$B198-Dashboard!$B$3+1)</f>
        <v/>
      </c>
      <c r="D198" s="78"/>
      <c r="E198" s="78"/>
      <c r="F198" s="78"/>
      <c r="G198" s="78"/>
      <c r="H198" s="79"/>
      <c r="I198" s="79"/>
      <c r="J198" s="78"/>
      <c r="K198" s="78"/>
      <c r="L198" s="78"/>
      <c r="M198" s="79"/>
      <c r="N198" s="78"/>
      <c r="O198" s="78"/>
      <c r="P198" s="78"/>
      <c r="Q198" s="76" t="str">
        <f t="shared" si="11"/>
        <v/>
      </c>
      <c r="R198" s="78"/>
    </row>
    <row r="199" spans="1:18" x14ac:dyDescent="0.3">
      <c r="A199" s="76" t="str">
        <f t="shared" ref="A199:A204" si="12">IF($B199="","",ROW()-4)</f>
        <v/>
      </c>
      <c r="B199" s="77"/>
      <c r="C199" s="76" t="str">
        <f>IF($B199="","",$B199-Dashboard!$B$3+1)</f>
        <v/>
      </c>
      <c r="D199" s="78"/>
      <c r="E199" s="78"/>
      <c r="F199" s="78"/>
      <c r="G199" s="78"/>
      <c r="H199" s="79"/>
      <c r="I199" s="79"/>
      <c r="J199" s="78"/>
      <c r="K199" s="78"/>
      <c r="L199" s="78"/>
      <c r="M199" s="79"/>
      <c r="N199" s="78"/>
      <c r="O199" s="78"/>
      <c r="P199" s="78"/>
      <c r="Q199" s="76" t="str">
        <f t="shared" ref="Q199:Q204" si="13">IF($B199="","",IFERROR($O199-$P199,0))</f>
        <v/>
      </c>
      <c r="R199" s="78"/>
    </row>
    <row r="200" spans="1:18" x14ac:dyDescent="0.3">
      <c r="A200" s="76" t="str">
        <f t="shared" si="12"/>
        <v/>
      </c>
      <c r="B200" s="77"/>
      <c r="C200" s="76" t="str">
        <f>IF($B200="","",$B200-Dashboard!$B$3+1)</f>
        <v/>
      </c>
      <c r="D200" s="78"/>
      <c r="E200" s="78"/>
      <c r="F200" s="78"/>
      <c r="G200" s="78"/>
      <c r="H200" s="79"/>
      <c r="I200" s="79"/>
      <c r="J200" s="78"/>
      <c r="K200" s="78"/>
      <c r="L200" s="78"/>
      <c r="M200" s="79"/>
      <c r="N200" s="78"/>
      <c r="O200" s="78"/>
      <c r="P200" s="78"/>
      <c r="Q200" s="76" t="str">
        <f t="shared" si="13"/>
        <v/>
      </c>
      <c r="R200" s="78"/>
    </row>
    <row r="201" spans="1:18" x14ac:dyDescent="0.3">
      <c r="A201" s="76" t="str">
        <f t="shared" si="12"/>
        <v/>
      </c>
      <c r="B201" s="77"/>
      <c r="C201" s="76" t="str">
        <f>IF($B201="","",$B201-Dashboard!$B$3+1)</f>
        <v/>
      </c>
      <c r="D201" s="78"/>
      <c r="E201" s="78"/>
      <c r="F201" s="78"/>
      <c r="G201" s="78"/>
      <c r="H201" s="79"/>
      <c r="I201" s="79"/>
      <c r="J201" s="78"/>
      <c r="K201" s="78"/>
      <c r="L201" s="78"/>
      <c r="M201" s="79"/>
      <c r="N201" s="78"/>
      <c r="O201" s="78"/>
      <c r="P201" s="78"/>
      <c r="Q201" s="76" t="str">
        <f t="shared" si="13"/>
        <v/>
      </c>
      <c r="R201" s="78"/>
    </row>
    <row r="202" spans="1:18" x14ac:dyDescent="0.3">
      <c r="A202" s="76" t="str">
        <f t="shared" si="12"/>
        <v/>
      </c>
      <c r="B202" s="77"/>
      <c r="C202" s="76" t="str">
        <f>IF($B202="","",$B202-Dashboard!$B$3+1)</f>
        <v/>
      </c>
      <c r="D202" s="78"/>
      <c r="E202" s="78"/>
      <c r="F202" s="78"/>
      <c r="G202" s="78"/>
      <c r="H202" s="79"/>
      <c r="I202" s="79"/>
      <c r="J202" s="78"/>
      <c r="K202" s="78"/>
      <c r="L202" s="78"/>
      <c r="M202" s="79"/>
      <c r="N202" s="78"/>
      <c r="O202" s="78"/>
      <c r="P202" s="78"/>
      <c r="Q202" s="76" t="str">
        <f t="shared" si="13"/>
        <v/>
      </c>
      <c r="R202" s="78"/>
    </row>
    <row r="203" spans="1:18" x14ac:dyDescent="0.3">
      <c r="A203" s="76" t="str">
        <f t="shared" si="12"/>
        <v/>
      </c>
      <c r="B203" s="77"/>
      <c r="C203" s="76" t="str">
        <f>IF($B203="","",$B203-Dashboard!$B$3+1)</f>
        <v/>
      </c>
      <c r="D203" s="78"/>
      <c r="E203" s="78"/>
      <c r="F203" s="78"/>
      <c r="G203" s="78"/>
      <c r="H203" s="79"/>
      <c r="I203" s="79"/>
      <c r="J203" s="78"/>
      <c r="K203" s="78"/>
      <c r="L203" s="78"/>
      <c r="M203" s="79"/>
      <c r="N203" s="78"/>
      <c r="O203" s="78"/>
      <c r="P203" s="78"/>
      <c r="Q203" s="76" t="str">
        <f t="shared" si="13"/>
        <v/>
      </c>
      <c r="R203" s="78"/>
    </row>
    <row r="204" spans="1:18" x14ac:dyDescent="0.3">
      <c r="A204" s="76" t="str">
        <f t="shared" si="12"/>
        <v/>
      </c>
      <c r="B204" s="77"/>
      <c r="C204" s="76" t="str">
        <f>IF($B204="","",$B204-Dashboard!$B$3+1)</f>
        <v/>
      </c>
      <c r="D204" s="78"/>
      <c r="E204" s="78"/>
      <c r="F204" s="78"/>
      <c r="G204" s="78"/>
      <c r="H204" s="79"/>
      <c r="I204" s="79"/>
      <c r="J204" s="78"/>
      <c r="K204" s="78"/>
      <c r="L204" s="78"/>
      <c r="M204" s="79"/>
      <c r="N204" s="78"/>
      <c r="O204" s="78"/>
      <c r="P204" s="78"/>
      <c r="Q204" s="76" t="str">
        <f t="shared" si="13"/>
        <v/>
      </c>
      <c r="R204" s="78"/>
    </row>
  </sheetData>
  <autoFilter ref="A4:R204" xr:uid="{00000000-0009-0000-0000-000004000000}"/>
  <conditionalFormatting sqref="J5:J204">
    <cfRule type="cellIs" dxfId="8" priority="1" operator="equal">
      <formula>"Rejected"</formula>
    </cfRule>
    <cfRule type="cellIs" dxfId="7" priority="2" operator="equal">
      <formula>"Accepted with edits"</formula>
    </cfRule>
    <cfRule type="cellIs" dxfId="6" priority="3" operator="equal">
      <formula>"Accepted"</formula>
    </cfRule>
  </conditionalFormatting>
  <pageMargins left="0.75" right="0.75" top="1" bottom="1" header="0.5" footer="0.5"/>
  <headerFooter>
    <oddHeader>&amp;R&amp;"Aptos"&amp;10&amp;K000000 Classification: Confidential&amp;1#_x000D_</oddHeader>
  </headerFooter>
  <extLst>
    <ext xmlns:x14="http://schemas.microsoft.com/office/spreadsheetml/2009/9/main" uri="{CCE6A557-97BC-4b89-ADB6-D9C93CAAB3DF}">
      <x14:dataValidations xmlns:xm="http://schemas.microsoft.com/office/excel/2006/main" count="7">
        <x14:dataValidation type="list" allowBlank="1" errorTitle="Not in list" error="Pick a value from the list." xr:uid="{00000000-0002-0000-0400-000000000000}">
          <x14:formula1>
            <xm:f>Lists!$L$5:$L$10</xm:f>
          </x14:formula1>
          <xm:sqref>F5:F204</xm:sqref>
        </x14:dataValidation>
        <x14:dataValidation type="list" allowBlank="1" errorTitle="Not in list" error="Pick a value from the list." xr:uid="{00000000-0002-0000-0400-000001000000}">
          <x14:formula1>
            <xm:f>Lists!$C$5:$C$14</xm:f>
          </x14:formula1>
          <xm:sqref>G5:G204</xm:sqref>
        </x14:dataValidation>
        <x14:dataValidation type="list" allowBlank="1" errorTitle="Not in list" error="Pick a value from the list." xr:uid="{00000000-0002-0000-0400-000002000000}">
          <x14:formula1>
            <xm:f>Lists!$D$5:$D$8</xm:f>
          </x14:formula1>
          <xm:sqref>J5:J204</xm:sqref>
        </x14:dataValidation>
        <x14:dataValidation type="list" allowBlank="1" errorTitle="Not in list" error="Pick a value from the list." xr:uid="{00000000-0002-0000-0400-000003000000}">
          <x14:formula1>
            <xm:f>Lists!$K$5:$K$6</xm:f>
          </x14:formula1>
          <xm:sqref>K5:K204</xm:sqref>
        </x14:dataValidation>
        <x14:dataValidation type="list" allowBlank="1" errorTitle="Not in list" error="Pick a value from the list." xr:uid="{00000000-0002-0000-0400-000004000000}">
          <x14:formula1>
            <xm:f>Lists!$E$5:$E$13</xm:f>
          </x14:formula1>
          <xm:sqref>L5:L204</xm:sqref>
        </x14:dataValidation>
        <x14:dataValidation type="list" allowBlank="1" errorTitle="Not in list" error="Pick a value from the list." xr:uid="{00000000-0002-0000-0400-000005000000}">
          <x14:formula1>
            <xm:f>Lists!$F$5:$F$11</xm:f>
          </x14:formula1>
          <xm:sqref>N5:N204</xm:sqref>
        </x14:dataValidation>
        <x14:dataValidation type="list" allowBlank="1" errorTitle="Not in list" error="Pick a value from the list." xr:uid="{00000000-0002-0000-0400-000006000000}">
          <x14:formula1>
            <xm:f>Lists!$B$5:$B$16</xm:f>
          </x14:formula1>
          <xm:sqref>E5:E204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J84"/>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11" customWidth="1"/>
    <col min="3" max="3" width="14" customWidth="1"/>
    <col min="4" max="4" width="8" customWidth="1"/>
    <col min="5" max="5" width="24" customWidth="1"/>
    <col min="6" max="6" width="58" customWidth="1"/>
    <col min="7" max="7" width="50" customWidth="1"/>
    <col min="8" max="8" width="32" customWidth="1"/>
    <col min="9" max="9" width="8" customWidth="1"/>
    <col min="10" max="10" width="20" customWidth="1"/>
  </cols>
  <sheetData>
    <row r="1" spans="1:10" ht="17.399999999999999" x14ac:dyDescent="0.3">
      <c r="A1" s="1" t="s">
        <v>617</v>
      </c>
    </row>
    <row r="2" spans="1:10" x14ac:dyDescent="0.3">
      <c r="A2" s="2" t="s">
        <v>618</v>
      </c>
    </row>
    <row r="4" spans="1:10" ht="30" customHeight="1" x14ac:dyDescent="0.3">
      <c r="A4" s="28" t="s">
        <v>33</v>
      </c>
      <c r="B4" s="28" t="s">
        <v>61</v>
      </c>
      <c r="C4" s="28" t="s">
        <v>515</v>
      </c>
      <c r="D4" s="28" t="s">
        <v>101</v>
      </c>
      <c r="E4" s="28" t="s">
        <v>619</v>
      </c>
      <c r="F4" s="28" t="s">
        <v>620</v>
      </c>
      <c r="G4" s="28" t="s">
        <v>621</v>
      </c>
      <c r="H4" s="28" t="s">
        <v>622</v>
      </c>
      <c r="I4" s="28" t="s">
        <v>623</v>
      </c>
      <c r="J4" s="28" t="s">
        <v>624</v>
      </c>
    </row>
    <row r="5" spans="1:10" ht="61.95" customHeight="1" x14ac:dyDescent="0.3">
      <c r="A5" s="73">
        <v>1</v>
      </c>
      <c r="B5" s="74" t="s">
        <v>625</v>
      </c>
      <c r="C5" s="73" t="s">
        <v>521</v>
      </c>
      <c r="D5" s="73" t="s">
        <v>176</v>
      </c>
      <c r="E5" s="73" t="s">
        <v>626</v>
      </c>
      <c r="F5" s="75" t="s">
        <v>627</v>
      </c>
      <c r="G5" s="75" t="s">
        <v>628</v>
      </c>
      <c r="H5" s="75" t="s">
        <v>629</v>
      </c>
      <c r="I5" s="73" t="s">
        <v>605</v>
      </c>
      <c r="J5" s="73" t="s">
        <v>630</v>
      </c>
    </row>
    <row r="6" spans="1:10" ht="61.95" customHeight="1" x14ac:dyDescent="0.3">
      <c r="A6" s="73">
        <v>2</v>
      </c>
      <c r="B6" s="74" t="s">
        <v>631</v>
      </c>
      <c r="C6" s="73" t="s">
        <v>527</v>
      </c>
      <c r="D6" s="73" t="s">
        <v>223</v>
      </c>
      <c r="E6" s="73" t="s">
        <v>632</v>
      </c>
      <c r="F6" s="75" t="s">
        <v>633</v>
      </c>
      <c r="G6" s="75" t="s">
        <v>634</v>
      </c>
      <c r="H6" s="75" t="s">
        <v>635</v>
      </c>
      <c r="I6" s="73" t="s">
        <v>605</v>
      </c>
      <c r="J6" s="73" t="s">
        <v>636</v>
      </c>
    </row>
    <row r="7" spans="1:10" x14ac:dyDescent="0.3">
      <c r="A7" s="76" t="str">
        <f t="shared" ref="A7:A38" si="0">IF($B7="","",ROW()-4)</f>
        <v/>
      </c>
      <c r="B7" s="77"/>
      <c r="C7" s="78"/>
      <c r="D7" s="78"/>
      <c r="E7" s="78"/>
      <c r="F7" s="79"/>
      <c r="G7" s="79"/>
      <c r="H7" s="79"/>
      <c r="I7" s="78"/>
      <c r="J7" s="78"/>
    </row>
    <row r="8" spans="1:10" x14ac:dyDescent="0.3">
      <c r="A8" s="76" t="str">
        <f t="shared" si="0"/>
        <v/>
      </c>
      <c r="B8" s="77"/>
      <c r="C8" s="78"/>
      <c r="D8" s="78"/>
      <c r="E8" s="78"/>
      <c r="F8" s="79"/>
      <c r="G8" s="79"/>
      <c r="H8" s="79"/>
      <c r="I8" s="78"/>
      <c r="J8" s="78"/>
    </row>
    <row r="9" spans="1:10" x14ac:dyDescent="0.3">
      <c r="A9" s="76" t="str">
        <f t="shared" si="0"/>
        <v/>
      </c>
      <c r="B9" s="77"/>
      <c r="C9" s="78"/>
      <c r="D9" s="78"/>
      <c r="E9" s="78"/>
      <c r="F9" s="79"/>
      <c r="G9" s="79"/>
      <c r="H9" s="79"/>
      <c r="I9" s="78"/>
      <c r="J9" s="78"/>
    </row>
    <row r="10" spans="1:10" x14ac:dyDescent="0.3">
      <c r="A10" s="76" t="str">
        <f t="shared" si="0"/>
        <v/>
      </c>
      <c r="B10" s="77"/>
      <c r="C10" s="78"/>
      <c r="D10" s="78"/>
      <c r="E10" s="78"/>
      <c r="F10" s="79"/>
      <c r="G10" s="79"/>
      <c r="H10" s="79"/>
      <c r="I10" s="78"/>
      <c r="J10" s="78"/>
    </row>
    <row r="11" spans="1:10" x14ac:dyDescent="0.3">
      <c r="A11" s="76" t="str">
        <f t="shared" si="0"/>
        <v/>
      </c>
      <c r="B11" s="77"/>
      <c r="C11" s="78"/>
      <c r="D11" s="78"/>
      <c r="E11" s="78"/>
      <c r="F11" s="79"/>
      <c r="G11" s="79"/>
      <c r="H11" s="79"/>
      <c r="I11" s="78"/>
      <c r="J11" s="78"/>
    </row>
    <row r="12" spans="1:10" x14ac:dyDescent="0.3">
      <c r="A12" s="76" t="str">
        <f t="shared" si="0"/>
        <v/>
      </c>
      <c r="B12" s="77"/>
      <c r="C12" s="78"/>
      <c r="D12" s="78"/>
      <c r="E12" s="78"/>
      <c r="F12" s="79"/>
      <c r="G12" s="79"/>
      <c r="H12" s="79"/>
      <c r="I12" s="78"/>
      <c r="J12" s="78"/>
    </row>
    <row r="13" spans="1:10" x14ac:dyDescent="0.3">
      <c r="A13" s="76" t="str">
        <f t="shared" si="0"/>
        <v/>
      </c>
      <c r="B13" s="77"/>
      <c r="C13" s="78"/>
      <c r="D13" s="78"/>
      <c r="E13" s="78"/>
      <c r="F13" s="79"/>
      <c r="G13" s="79"/>
      <c r="H13" s="79"/>
      <c r="I13" s="78"/>
      <c r="J13" s="78"/>
    </row>
    <row r="14" spans="1:10" x14ac:dyDescent="0.3">
      <c r="A14" s="76" t="str">
        <f t="shared" si="0"/>
        <v/>
      </c>
      <c r="B14" s="77"/>
      <c r="C14" s="78"/>
      <c r="D14" s="78"/>
      <c r="E14" s="78"/>
      <c r="F14" s="79"/>
      <c r="G14" s="79"/>
      <c r="H14" s="79"/>
      <c r="I14" s="78"/>
      <c r="J14" s="78"/>
    </row>
    <row r="15" spans="1:10" x14ac:dyDescent="0.3">
      <c r="A15" s="76" t="str">
        <f t="shared" si="0"/>
        <v/>
      </c>
      <c r="B15" s="77"/>
      <c r="C15" s="78"/>
      <c r="D15" s="78"/>
      <c r="E15" s="78"/>
      <c r="F15" s="79"/>
      <c r="G15" s="79"/>
      <c r="H15" s="79"/>
      <c r="I15" s="78"/>
      <c r="J15" s="78"/>
    </row>
    <row r="16" spans="1:10" x14ac:dyDescent="0.3">
      <c r="A16" s="76" t="str">
        <f t="shared" si="0"/>
        <v/>
      </c>
      <c r="B16" s="77"/>
      <c r="C16" s="78"/>
      <c r="D16" s="78"/>
      <c r="E16" s="78"/>
      <c r="F16" s="79"/>
      <c r="G16" s="79"/>
      <c r="H16" s="79"/>
      <c r="I16" s="78"/>
      <c r="J16" s="78"/>
    </row>
    <row r="17" spans="1:10" x14ac:dyDescent="0.3">
      <c r="A17" s="76" t="str">
        <f t="shared" si="0"/>
        <v/>
      </c>
      <c r="B17" s="77"/>
      <c r="C17" s="78"/>
      <c r="D17" s="78"/>
      <c r="E17" s="78"/>
      <c r="F17" s="79"/>
      <c r="G17" s="79"/>
      <c r="H17" s="79"/>
      <c r="I17" s="78"/>
      <c r="J17" s="78"/>
    </row>
    <row r="18" spans="1:10" x14ac:dyDescent="0.3">
      <c r="A18" s="76" t="str">
        <f t="shared" si="0"/>
        <v/>
      </c>
      <c r="B18" s="77"/>
      <c r="C18" s="78"/>
      <c r="D18" s="78"/>
      <c r="E18" s="78"/>
      <c r="F18" s="79"/>
      <c r="G18" s="79"/>
      <c r="H18" s="79"/>
      <c r="I18" s="78"/>
      <c r="J18" s="78"/>
    </row>
    <row r="19" spans="1:10" x14ac:dyDescent="0.3">
      <c r="A19" s="76" t="str">
        <f t="shared" si="0"/>
        <v/>
      </c>
      <c r="B19" s="77"/>
      <c r="C19" s="78"/>
      <c r="D19" s="78"/>
      <c r="E19" s="78"/>
      <c r="F19" s="79"/>
      <c r="G19" s="79"/>
      <c r="H19" s="79"/>
      <c r="I19" s="78"/>
      <c r="J19" s="78"/>
    </row>
    <row r="20" spans="1:10" x14ac:dyDescent="0.3">
      <c r="A20" s="76" t="str">
        <f t="shared" si="0"/>
        <v/>
      </c>
      <c r="B20" s="77"/>
      <c r="C20" s="78"/>
      <c r="D20" s="78"/>
      <c r="E20" s="78"/>
      <c r="F20" s="79"/>
      <c r="G20" s="79"/>
      <c r="H20" s="79"/>
      <c r="I20" s="78"/>
      <c r="J20" s="78"/>
    </row>
    <row r="21" spans="1:10" x14ac:dyDescent="0.3">
      <c r="A21" s="76" t="str">
        <f t="shared" si="0"/>
        <v/>
      </c>
      <c r="B21" s="77"/>
      <c r="C21" s="78"/>
      <c r="D21" s="78"/>
      <c r="E21" s="78"/>
      <c r="F21" s="79"/>
      <c r="G21" s="79"/>
      <c r="H21" s="79"/>
      <c r="I21" s="78"/>
      <c r="J21" s="78"/>
    </row>
    <row r="22" spans="1:10" x14ac:dyDescent="0.3">
      <c r="A22" s="76" t="str">
        <f t="shared" si="0"/>
        <v/>
      </c>
      <c r="B22" s="77"/>
      <c r="C22" s="78"/>
      <c r="D22" s="78"/>
      <c r="E22" s="78"/>
      <c r="F22" s="79"/>
      <c r="G22" s="79"/>
      <c r="H22" s="79"/>
      <c r="I22" s="78"/>
      <c r="J22" s="78"/>
    </row>
    <row r="23" spans="1:10" x14ac:dyDescent="0.3">
      <c r="A23" s="76" t="str">
        <f t="shared" si="0"/>
        <v/>
      </c>
      <c r="B23" s="77"/>
      <c r="C23" s="78"/>
      <c r="D23" s="78"/>
      <c r="E23" s="78"/>
      <c r="F23" s="79"/>
      <c r="G23" s="79"/>
      <c r="H23" s="79"/>
      <c r="I23" s="78"/>
      <c r="J23" s="78"/>
    </row>
    <row r="24" spans="1:10" x14ac:dyDescent="0.3">
      <c r="A24" s="76" t="str">
        <f t="shared" si="0"/>
        <v/>
      </c>
      <c r="B24" s="77"/>
      <c r="C24" s="78"/>
      <c r="D24" s="78"/>
      <c r="E24" s="78"/>
      <c r="F24" s="79"/>
      <c r="G24" s="79"/>
      <c r="H24" s="79"/>
      <c r="I24" s="78"/>
      <c r="J24" s="78"/>
    </row>
    <row r="25" spans="1:10" x14ac:dyDescent="0.3">
      <c r="A25" s="76" t="str">
        <f t="shared" si="0"/>
        <v/>
      </c>
      <c r="B25" s="77"/>
      <c r="C25" s="78"/>
      <c r="D25" s="78"/>
      <c r="E25" s="78"/>
      <c r="F25" s="79"/>
      <c r="G25" s="79"/>
      <c r="H25" s="79"/>
      <c r="I25" s="78"/>
      <c r="J25" s="78"/>
    </row>
    <row r="26" spans="1:10" x14ac:dyDescent="0.3">
      <c r="A26" s="76" t="str">
        <f t="shared" si="0"/>
        <v/>
      </c>
      <c r="B26" s="77"/>
      <c r="C26" s="78"/>
      <c r="D26" s="78"/>
      <c r="E26" s="78"/>
      <c r="F26" s="79"/>
      <c r="G26" s="79"/>
      <c r="H26" s="79"/>
      <c r="I26" s="78"/>
      <c r="J26" s="78"/>
    </row>
    <row r="27" spans="1:10" x14ac:dyDescent="0.3">
      <c r="A27" s="76" t="str">
        <f t="shared" si="0"/>
        <v/>
      </c>
      <c r="B27" s="77"/>
      <c r="C27" s="78"/>
      <c r="D27" s="78"/>
      <c r="E27" s="78"/>
      <c r="F27" s="79"/>
      <c r="G27" s="79"/>
      <c r="H27" s="79"/>
      <c r="I27" s="78"/>
      <c r="J27" s="78"/>
    </row>
    <row r="28" spans="1:10" x14ac:dyDescent="0.3">
      <c r="A28" s="76" t="str">
        <f t="shared" si="0"/>
        <v/>
      </c>
      <c r="B28" s="77"/>
      <c r="C28" s="78"/>
      <c r="D28" s="78"/>
      <c r="E28" s="78"/>
      <c r="F28" s="79"/>
      <c r="G28" s="79"/>
      <c r="H28" s="79"/>
      <c r="I28" s="78"/>
      <c r="J28" s="78"/>
    </row>
    <row r="29" spans="1:10" x14ac:dyDescent="0.3">
      <c r="A29" s="76" t="str">
        <f t="shared" si="0"/>
        <v/>
      </c>
      <c r="B29" s="77"/>
      <c r="C29" s="78"/>
      <c r="D29" s="78"/>
      <c r="E29" s="78"/>
      <c r="F29" s="79"/>
      <c r="G29" s="79"/>
      <c r="H29" s="79"/>
      <c r="I29" s="78"/>
      <c r="J29" s="78"/>
    </row>
    <row r="30" spans="1:10" x14ac:dyDescent="0.3">
      <c r="A30" s="76" t="str">
        <f t="shared" si="0"/>
        <v/>
      </c>
      <c r="B30" s="77"/>
      <c r="C30" s="78"/>
      <c r="D30" s="78"/>
      <c r="E30" s="78"/>
      <c r="F30" s="79"/>
      <c r="G30" s="79"/>
      <c r="H30" s="79"/>
      <c r="I30" s="78"/>
      <c r="J30" s="78"/>
    </row>
    <row r="31" spans="1:10" x14ac:dyDescent="0.3">
      <c r="A31" s="76" t="str">
        <f t="shared" si="0"/>
        <v/>
      </c>
      <c r="B31" s="77"/>
      <c r="C31" s="78"/>
      <c r="D31" s="78"/>
      <c r="E31" s="78"/>
      <c r="F31" s="79"/>
      <c r="G31" s="79"/>
      <c r="H31" s="79"/>
      <c r="I31" s="78"/>
      <c r="J31" s="78"/>
    </row>
    <row r="32" spans="1:10" x14ac:dyDescent="0.3">
      <c r="A32" s="76" t="str">
        <f t="shared" si="0"/>
        <v/>
      </c>
      <c r="B32" s="77"/>
      <c r="C32" s="78"/>
      <c r="D32" s="78"/>
      <c r="E32" s="78"/>
      <c r="F32" s="79"/>
      <c r="G32" s="79"/>
      <c r="H32" s="79"/>
      <c r="I32" s="78"/>
      <c r="J32" s="78"/>
    </row>
    <row r="33" spans="1:10" x14ac:dyDescent="0.3">
      <c r="A33" s="76" t="str">
        <f t="shared" si="0"/>
        <v/>
      </c>
      <c r="B33" s="77"/>
      <c r="C33" s="78"/>
      <c r="D33" s="78"/>
      <c r="E33" s="78"/>
      <c r="F33" s="79"/>
      <c r="G33" s="79"/>
      <c r="H33" s="79"/>
      <c r="I33" s="78"/>
      <c r="J33" s="78"/>
    </row>
    <row r="34" spans="1:10" x14ac:dyDescent="0.3">
      <c r="A34" s="76" t="str">
        <f t="shared" si="0"/>
        <v/>
      </c>
      <c r="B34" s="77"/>
      <c r="C34" s="78"/>
      <c r="D34" s="78"/>
      <c r="E34" s="78"/>
      <c r="F34" s="79"/>
      <c r="G34" s="79"/>
      <c r="H34" s="79"/>
      <c r="I34" s="78"/>
      <c r="J34" s="78"/>
    </row>
    <row r="35" spans="1:10" x14ac:dyDescent="0.3">
      <c r="A35" s="76" t="str">
        <f t="shared" si="0"/>
        <v/>
      </c>
      <c r="B35" s="77"/>
      <c r="C35" s="78"/>
      <c r="D35" s="78"/>
      <c r="E35" s="78"/>
      <c r="F35" s="79"/>
      <c r="G35" s="79"/>
      <c r="H35" s="79"/>
      <c r="I35" s="78"/>
      <c r="J35" s="78"/>
    </row>
    <row r="36" spans="1:10" x14ac:dyDescent="0.3">
      <c r="A36" s="76" t="str">
        <f t="shared" si="0"/>
        <v/>
      </c>
      <c r="B36" s="77"/>
      <c r="C36" s="78"/>
      <c r="D36" s="78"/>
      <c r="E36" s="78"/>
      <c r="F36" s="79"/>
      <c r="G36" s="79"/>
      <c r="H36" s="79"/>
      <c r="I36" s="78"/>
      <c r="J36" s="78"/>
    </row>
    <row r="37" spans="1:10" x14ac:dyDescent="0.3">
      <c r="A37" s="76" t="str">
        <f t="shared" si="0"/>
        <v/>
      </c>
      <c r="B37" s="77"/>
      <c r="C37" s="78"/>
      <c r="D37" s="78"/>
      <c r="E37" s="78"/>
      <c r="F37" s="79"/>
      <c r="G37" s="79"/>
      <c r="H37" s="79"/>
      <c r="I37" s="78"/>
      <c r="J37" s="78"/>
    </row>
    <row r="38" spans="1:10" x14ac:dyDescent="0.3">
      <c r="A38" s="76" t="str">
        <f t="shared" si="0"/>
        <v/>
      </c>
      <c r="B38" s="77"/>
      <c r="C38" s="78"/>
      <c r="D38" s="78"/>
      <c r="E38" s="78"/>
      <c r="F38" s="79"/>
      <c r="G38" s="79"/>
      <c r="H38" s="79"/>
      <c r="I38" s="78"/>
      <c r="J38" s="78"/>
    </row>
    <row r="39" spans="1:10" x14ac:dyDescent="0.3">
      <c r="A39" s="76" t="str">
        <f t="shared" ref="A39:A70" si="1">IF($B39="","",ROW()-4)</f>
        <v/>
      </c>
      <c r="B39" s="77"/>
      <c r="C39" s="78"/>
      <c r="D39" s="78"/>
      <c r="E39" s="78"/>
      <c r="F39" s="79"/>
      <c r="G39" s="79"/>
      <c r="H39" s="79"/>
      <c r="I39" s="78"/>
      <c r="J39" s="78"/>
    </row>
    <row r="40" spans="1:10" x14ac:dyDescent="0.3">
      <c r="A40" s="76" t="str">
        <f t="shared" si="1"/>
        <v/>
      </c>
      <c r="B40" s="77"/>
      <c r="C40" s="78"/>
      <c r="D40" s="78"/>
      <c r="E40" s="78"/>
      <c r="F40" s="79"/>
      <c r="G40" s="79"/>
      <c r="H40" s="79"/>
      <c r="I40" s="78"/>
      <c r="J40" s="78"/>
    </row>
    <row r="41" spans="1:10" x14ac:dyDescent="0.3">
      <c r="A41" s="76" t="str">
        <f t="shared" si="1"/>
        <v/>
      </c>
      <c r="B41" s="77"/>
      <c r="C41" s="78"/>
      <c r="D41" s="78"/>
      <c r="E41" s="78"/>
      <c r="F41" s="79"/>
      <c r="G41" s="79"/>
      <c r="H41" s="79"/>
      <c r="I41" s="78"/>
      <c r="J41" s="78"/>
    </row>
    <row r="42" spans="1:10" x14ac:dyDescent="0.3">
      <c r="A42" s="76" t="str">
        <f t="shared" si="1"/>
        <v/>
      </c>
      <c r="B42" s="77"/>
      <c r="C42" s="78"/>
      <c r="D42" s="78"/>
      <c r="E42" s="78"/>
      <c r="F42" s="79"/>
      <c r="G42" s="79"/>
      <c r="H42" s="79"/>
      <c r="I42" s="78"/>
      <c r="J42" s="78"/>
    </row>
    <row r="43" spans="1:10" x14ac:dyDescent="0.3">
      <c r="A43" s="76" t="str">
        <f t="shared" si="1"/>
        <v/>
      </c>
      <c r="B43" s="77"/>
      <c r="C43" s="78"/>
      <c r="D43" s="78"/>
      <c r="E43" s="78"/>
      <c r="F43" s="79"/>
      <c r="G43" s="79"/>
      <c r="H43" s="79"/>
      <c r="I43" s="78"/>
      <c r="J43" s="78"/>
    </row>
    <row r="44" spans="1:10" x14ac:dyDescent="0.3">
      <c r="A44" s="76" t="str">
        <f t="shared" si="1"/>
        <v/>
      </c>
      <c r="B44" s="77"/>
      <c r="C44" s="78"/>
      <c r="D44" s="78"/>
      <c r="E44" s="78"/>
      <c r="F44" s="79"/>
      <c r="G44" s="79"/>
      <c r="H44" s="79"/>
      <c r="I44" s="78"/>
      <c r="J44" s="78"/>
    </row>
    <row r="45" spans="1:10" x14ac:dyDescent="0.3">
      <c r="A45" s="76" t="str">
        <f t="shared" si="1"/>
        <v/>
      </c>
      <c r="B45" s="77"/>
      <c r="C45" s="78"/>
      <c r="D45" s="78"/>
      <c r="E45" s="78"/>
      <c r="F45" s="79"/>
      <c r="G45" s="79"/>
      <c r="H45" s="79"/>
      <c r="I45" s="78"/>
      <c r="J45" s="78"/>
    </row>
    <row r="46" spans="1:10" x14ac:dyDescent="0.3">
      <c r="A46" s="76" t="str">
        <f t="shared" si="1"/>
        <v/>
      </c>
      <c r="B46" s="77"/>
      <c r="C46" s="78"/>
      <c r="D46" s="78"/>
      <c r="E46" s="78"/>
      <c r="F46" s="79"/>
      <c r="G46" s="79"/>
      <c r="H46" s="79"/>
      <c r="I46" s="78"/>
      <c r="J46" s="78"/>
    </row>
    <row r="47" spans="1:10" x14ac:dyDescent="0.3">
      <c r="A47" s="76" t="str">
        <f t="shared" si="1"/>
        <v/>
      </c>
      <c r="B47" s="77"/>
      <c r="C47" s="78"/>
      <c r="D47" s="78"/>
      <c r="E47" s="78"/>
      <c r="F47" s="79"/>
      <c r="G47" s="79"/>
      <c r="H47" s="79"/>
      <c r="I47" s="78"/>
      <c r="J47" s="78"/>
    </row>
    <row r="48" spans="1:10" x14ac:dyDescent="0.3">
      <c r="A48" s="76" t="str">
        <f t="shared" si="1"/>
        <v/>
      </c>
      <c r="B48" s="77"/>
      <c r="C48" s="78"/>
      <c r="D48" s="78"/>
      <c r="E48" s="78"/>
      <c r="F48" s="79"/>
      <c r="G48" s="79"/>
      <c r="H48" s="79"/>
      <c r="I48" s="78"/>
      <c r="J48" s="78"/>
    </row>
    <row r="49" spans="1:10" x14ac:dyDescent="0.3">
      <c r="A49" s="76" t="str">
        <f t="shared" si="1"/>
        <v/>
      </c>
      <c r="B49" s="77"/>
      <c r="C49" s="78"/>
      <c r="D49" s="78"/>
      <c r="E49" s="78"/>
      <c r="F49" s="79"/>
      <c r="G49" s="79"/>
      <c r="H49" s="79"/>
      <c r="I49" s="78"/>
      <c r="J49" s="78"/>
    </row>
    <row r="50" spans="1:10" x14ac:dyDescent="0.3">
      <c r="A50" s="76" t="str">
        <f t="shared" si="1"/>
        <v/>
      </c>
      <c r="B50" s="77"/>
      <c r="C50" s="78"/>
      <c r="D50" s="78"/>
      <c r="E50" s="78"/>
      <c r="F50" s="79"/>
      <c r="G50" s="79"/>
      <c r="H50" s="79"/>
      <c r="I50" s="78"/>
      <c r="J50" s="78"/>
    </row>
    <row r="51" spans="1:10" x14ac:dyDescent="0.3">
      <c r="A51" s="76" t="str">
        <f t="shared" si="1"/>
        <v/>
      </c>
      <c r="B51" s="77"/>
      <c r="C51" s="78"/>
      <c r="D51" s="78"/>
      <c r="E51" s="78"/>
      <c r="F51" s="79"/>
      <c r="G51" s="79"/>
      <c r="H51" s="79"/>
      <c r="I51" s="78"/>
      <c r="J51" s="78"/>
    </row>
    <row r="52" spans="1:10" x14ac:dyDescent="0.3">
      <c r="A52" s="76" t="str">
        <f t="shared" si="1"/>
        <v/>
      </c>
      <c r="B52" s="77"/>
      <c r="C52" s="78"/>
      <c r="D52" s="78"/>
      <c r="E52" s="78"/>
      <c r="F52" s="79"/>
      <c r="G52" s="79"/>
      <c r="H52" s="79"/>
      <c r="I52" s="78"/>
      <c r="J52" s="78"/>
    </row>
    <row r="53" spans="1:10" x14ac:dyDescent="0.3">
      <c r="A53" s="76" t="str">
        <f t="shared" si="1"/>
        <v/>
      </c>
      <c r="B53" s="77"/>
      <c r="C53" s="78"/>
      <c r="D53" s="78"/>
      <c r="E53" s="78"/>
      <c r="F53" s="79"/>
      <c r="G53" s="79"/>
      <c r="H53" s="79"/>
      <c r="I53" s="78"/>
      <c r="J53" s="78"/>
    </row>
    <row r="54" spans="1:10" x14ac:dyDescent="0.3">
      <c r="A54" s="76" t="str">
        <f t="shared" si="1"/>
        <v/>
      </c>
      <c r="B54" s="77"/>
      <c r="C54" s="78"/>
      <c r="D54" s="78"/>
      <c r="E54" s="78"/>
      <c r="F54" s="79"/>
      <c r="G54" s="79"/>
      <c r="H54" s="79"/>
      <c r="I54" s="78"/>
      <c r="J54" s="78"/>
    </row>
    <row r="55" spans="1:10" x14ac:dyDescent="0.3">
      <c r="A55" s="76" t="str">
        <f t="shared" si="1"/>
        <v/>
      </c>
      <c r="B55" s="77"/>
      <c r="C55" s="78"/>
      <c r="D55" s="78"/>
      <c r="E55" s="78"/>
      <c r="F55" s="79"/>
      <c r="G55" s="79"/>
      <c r="H55" s="79"/>
      <c r="I55" s="78"/>
      <c r="J55" s="78"/>
    </row>
    <row r="56" spans="1:10" x14ac:dyDescent="0.3">
      <c r="A56" s="76" t="str">
        <f t="shared" si="1"/>
        <v/>
      </c>
      <c r="B56" s="77"/>
      <c r="C56" s="78"/>
      <c r="D56" s="78"/>
      <c r="E56" s="78"/>
      <c r="F56" s="79"/>
      <c r="G56" s="79"/>
      <c r="H56" s="79"/>
      <c r="I56" s="78"/>
      <c r="J56" s="78"/>
    </row>
    <row r="57" spans="1:10" x14ac:dyDescent="0.3">
      <c r="A57" s="76" t="str">
        <f t="shared" si="1"/>
        <v/>
      </c>
      <c r="B57" s="77"/>
      <c r="C57" s="78"/>
      <c r="D57" s="78"/>
      <c r="E57" s="78"/>
      <c r="F57" s="79"/>
      <c r="G57" s="79"/>
      <c r="H57" s="79"/>
      <c r="I57" s="78"/>
      <c r="J57" s="78"/>
    </row>
    <row r="58" spans="1:10" x14ac:dyDescent="0.3">
      <c r="A58" s="76" t="str">
        <f t="shared" si="1"/>
        <v/>
      </c>
      <c r="B58" s="77"/>
      <c r="C58" s="78"/>
      <c r="D58" s="78"/>
      <c r="E58" s="78"/>
      <c r="F58" s="79"/>
      <c r="G58" s="79"/>
      <c r="H58" s="79"/>
      <c r="I58" s="78"/>
      <c r="J58" s="78"/>
    </row>
    <row r="59" spans="1:10" x14ac:dyDescent="0.3">
      <c r="A59" s="76" t="str">
        <f t="shared" si="1"/>
        <v/>
      </c>
      <c r="B59" s="77"/>
      <c r="C59" s="78"/>
      <c r="D59" s="78"/>
      <c r="E59" s="78"/>
      <c r="F59" s="79"/>
      <c r="G59" s="79"/>
      <c r="H59" s="79"/>
      <c r="I59" s="78"/>
      <c r="J59" s="78"/>
    </row>
    <row r="60" spans="1:10" x14ac:dyDescent="0.3">
      <c r="A60" s="76" t="str">
        <f t="shared" si="1"/>
        <v/>
      </c>
      <c r="B60" s="77"/>
      <c r="C60" s="78"/>
      <c r="D60" s="78"/>
      <c r="E60" s="78"/>
      <c r="F60" s="79"/>
      <c r="G60" s="79"/>
      <c r="H60" s="79"/>
      <c r="I60" s="78"/>
      <c r="J60" s="78"/>
    </row>
    <row r="61" spans="1:10" x14ac:dyDescent="0.3">
      <c r="A61" s="76" t="str">
        <f t="shared" si="1"/>
        <v/>
      </c>
      <c r="B61" s="77"/>
      <c r="C61" s="78"/>
      <c r="D61" s="78"/>
      <c r="E61" s="78"/>
      <c r="F61" s="79"/>
      <c r="G61" s="79"/>
      <c r="H61" s="79"/>
      <c r="I61" s="78"/>
      <c r="J61" s="78"/>
    </row>
    <row r="62" spans="1:10" x14ac:dyDescent="0.3">
      <c r="A62" s="76" t="str">
        <f t="shared" si="1"/>
        <v/>
      </c>
      <c r="B62" s="77"/>
      <c r="C62" s="78"/>
      <c r="D62" s="78"/>
      <c r="E62" s="78"/>
      <c r="F62" s="79"/>
      <c r="G62" s="79"/>
      <c r="H62" s="79"/>
      <c r="I62" s="78"/>
      <c r="J62" s="78"/>
    </row>
    <row r="63" spans="1:10" x14ac:dyDescent="0.3">
      <c r="A63" s="76" t="str">
        <f t="shared" si="1"/>
        <v/>
      </c>
      <c r="B63" s="77"/>
      <c r="C63" s="78"/>
      <c r="D63" s="78"/>
      <c r="E63" s="78"/>
      <c r="F63" s="79"/>
      <c r="G63" s="79"/>
      <c r="H63" s="79"/>
      <c r="I63" s="78"/>
      <c r="J63" s="78"/>
    </row>
    <row r="64" spans="1:10" x14ac:dyDescent="0.3">
      <c r="A64" s="76" t="str">
        <f t="shared" si="1"/>
        <v/>
      </c>
      <c r="B64" s="77"/>
      <c r="C64" s="78"/>
      <c r="D64" s="78"/>
      <c r="E64" s="78"/>
      <c r="F64" s="79"/>
      <c r="G64" s="79"/>
      <c r="H64" s="79"/>
      <c r="I64" s="78"/>
      <c r="J64" s="78"/>
    </row>
    <row r="65" spans="1:10" x14ac:dyDescent="0.3">
      <c r="A65" s="76" t="str">
        <f t="shared" si="1"/>
        <v/>
      </c>
      <c r="B65" s="77"/>
      <c r="C65" s="78"/>
      <c r="D65" s="78"/>
      <c r="E65" s="78"/>
      <c r="F65" s="79"/>
      <c r="G65" s="79"/>
      <c r="H65" s="79"/>
      <c r="I65" s="78"/>
      <c r="J65" s="78"/>
    </row>
    <row r="66" spans="1:10" x14ac:dyDescent="0.3">
      <c r="A66" s="76" t="str">
        <f t="shared" si="1"/>
        <v/>
      </c>
      <c r="B66" s="77"/>
      <c r="C66" s="78"/>
      <c r="D66" s="78"/>
      <c r="E66" s="78"/>
      <c r="F66" s="79"/>
      <c r="G66" s="79"/>
      <c r="H66" s="79"/>
      <c r="I66" s="78"/>
      <c r="J66" s="78"/>
    </row>
    <row r="67" spans="1:10" x14ac:dyDescent="0.3">
      <c r="A67" s="76" t="str">
        <f t="shared" si="1"/>
        <v/>
      </c>
      <c r="B67" s="77"/>
      <c r="C67" s="78"/>
      <c r="D67" s="78"/>
      <c r="E67" s="78"/>
      <c r="F67" s="79"/>
      <c r="G67" s="79"/>
      <c r="H67" s="79"/>
      <c r="I67" s="78"/>
      <c r="J67" s="78"/>
    </row>
    <row r="68" spans="1:10" x14ac:dyDescent="0.3">
      <c r="A68" s="76" t="str">
        <f t="shared" si="1"/>
        <v/>
      </c>
      <c r="B68" s="77"/>
      <c r="C68" s="78"/>
      <c r="D68" s="78"/>
      <c r="E68" s="78"/>
      <c r="F68" s="79"/>
      <c r="G68" s="79"/>
      <c r="H68" s="79"/>
      <c r="I68" s="78"/>
      <c r="J68" s="78"/>
    </row>
    <row r="69" spans="1:10" x14ac:dyDescent="0.3">
      <c r="A69" s="76" t="str">
        <f t="shared" si="1"/>
        <v/>
      </c>
      <c r="B69" s="77"/>
      <c r="C69" s="78"/>
      <c r="D69" s="78"/>
      <c r="E69" s="78"/>
      <c r="F69" s="79"/>
      <c r="G69" s="79"/>
      <c r="H69" s="79"/>
      <c r="I69" s="78"/>
      <c r="J69" s="78"/>
    </row>
    <row r="70" spans="1:10" x14ac:dyDescent="0.3">
      <c r="A70" s="76" t="str">
        <f t="shared" si="1"/>
        <v/>
      </c>
      <c r="B70" s="77"/>
      <c r="C70" s="78"/>
      <c r="D70" s="78"/>
      <c r="E70" s="78"/>
      <c r="F70" s="79"/>
      <c r="G70" s="79"/>
      <c r="H70" s="79"/>
      <c r="I70" s="78"/>
      <c r="J70" s="78"/>
    </row>
    <row r="71" spans="1:10" x14ac:dyDescent="0.3">
      <c r="A71" s="76" t="str">
        <f t="shared" ref="A71:A84" si="2">IF($B71="","",ROW()-4)</f>
        <v/>
      </c>
      <c r="B71" s="77"/>
      <c r="C71" s="78"/>
      <c r="D71" s="78"/>
      <c r="E71" s="78"/>
      <c r="F71" s="79"/>
      <c r="G71" s="79"/>
      <c r="H71" s="79"/>
      <c r="I71" s="78"/>
      <c r="J71" s="78"/>
    </row>
    <row r="72" spans="1:10" x14ac:dyDescent="0.3">
      <c r="A72" s="76" t="str">
        <f t="shared" si="2"/>
        <v/>
      </c>
      <c r="B72" s="77"/>
      <c r="C72" s="78"/>
      <c r="D72" s="78"/>
      <c r="E72" s="78"/>
      <c r="F72" s="79"/>
      <c r="G72" s="79"/>
      <c r="H72" s="79"/>
      <c r="I72" s="78"/>
      <c r="J72" s="78"/>
    </row>
    <row r="73" spans="1:10" x14ac:dyDescent="0.3">
      <c r="A73" s="76" t="str">
        <f t="shared" si="2"/>
        <v/>
      </c>
      <c r="B73" s="77"/>
      <c r="C73" s="78"/>
      <c r="D73" s="78"/>
      <c r="E73" s="78"/>
      <c r="F73" s="79"/>
      <c r="G73" s="79"/>
      <c r="H73" s="79"/>
      <c r="I73" s="78"/>
      <c r="J73" s="78"/>
    </row>
    <row r="74" spans="1:10" x14ac:dyDescent="0.3">
      <c r="A74" s="76" t="str">
        <f t="shared" si="2"/>
        <v/>
      </c>
      <c r="B74" s="77"/>
      <c r="C74" s="78"/>
      <c r="D74" s="78"/>
      <c r="E74" s="78"/>
      <c r="F74" s="79"/>
      <c r="G74" s="79"/>
      <c r="H74" s="79"/>
      <c r="I74" s="78"/>
      <c r="J74" s="78"/>
    </row>
    <row r="75" spans="1:10" x14ac:dyDescent="0.3">
      <c r="A75" s="76" t="str">
        <f t="shared" si="2"/>
        <v/>
      </c>
      <c r="B75" s="77"/>
      <c r="C75" s="78"/>
      <c r="D75" s="78"/>
      <c r="E75" s="78"/>
      <c r="F75" s="79"/>
      <c r="G75" s="79"/>
      <c r="H75" s="79"/>
      <c r="I75" s="78"/>
      <c r="J75" s="78"/>
    </row>
    <row r="76" spans="1:10" x14ac:dyDescent="0.3">
      <c r="A76" s="76" t="str">
        <f t="shared" si="2"/>
        <v/>
      </c>
      <c r="B76" s="77"/>
      <c r="C76" s="78"/>
      <c r="D76" s="78"/>
      <c r="E76" s="78"/>
      <c r="F76" s="79"/>
      <c r="G76" s="79"/>
      <c r="H76" s="79"/>
      <c r="I76" s="78"/>
      <c r="J76" s="78"/>
    </row>
    <row r="77" spans="1:10" x14ac:dyDescent="0.3">
      <c r="A77" s="76" t="str">
        <f t="shared" si="2"/>
        <v/>
      </c>
      <c r="B77" s="77"/>
      <c r="C77" s="78"/>
      <c r="D77" s="78"/>
      <c r="E77" s="78"/>
      <c r="F77" s="79"/>
      <c r="G77" s="79"/>
      <c r="H77" s="79"/>
      <c r="I77" s="78"/>
      <c r="J77" s="78"/>
    </row>
    <row r="78" spans="1:10" x14ac:dyDescent="0.3">
      <c r="A78" s="76" t="str">
        <f t="shared" si="2"/>
        <v/>
      </c>
      <c r="B78" s="77"/>
      <c r="C78" s="78"/>
      <c r="D78" s="78"/>
      <c r="E78" s="78"/>
      <c r="F78" s="79"/>
      <c r="G78" s="79"/>
      <c r="H78" s="79"/>
      <c r="I78" s="78"/>
      <c r="J78" s="78"/>
    </row>
    <row r="79" spans="1:10" x14ac:dyDescent="0.3">
      <c r="A79" s="76" t="str">
        <f t="shared" si="2"/>
        <v/>
      </c>
      <c r="B79" s="77"/>
      <c r="C79" s="78"/>
      <c r="D79" s="78"/>
      <c r="E79" s="78"/>
      <c r="F79" s="79"/>
      <c r="G79" s="79"/>
      <c r="H79" s="79"/>
      <c r="I79" s="78"/>
      <c r="J79" s="78"/>
    </row>
    <row r="80" spans="1:10" x14ac:dyDescent="0.3">
      <c r="A80" s="76" t="str">
        <f t="shared" si="2"/>
        <v/>
      </c>
      <c r="B80" s="77"/>
      <c r="C80" s="78"/>
      <c r="D80" s="78"/>
      <c r="E80" s="78"/>
      <c r="F80" s="79"/>
      <c r="G80" s="79"/>
      <c r="H80" s="79"/>
      <c r="I80" s="78"/>
      <c r="J80" s="78"/>
    </row>
    <row r="81" spans="1:10" x14ac:dyDescent="0.3">
      <c r="A81" s="76" t="str">
        <f t="shared" si="2"/>
        <v/>
      </c>
      <c r="B81" s="77"/>
      <c r="C81" s="78"/>
      <c r="D81" s="78"/>
      <c r="E81" s="78"/>
      <c r="F81" s="79"/>
      <c r="G81" s="79"/>
      <c r="H81" s="79"/>
      <c r="I81" s="78"/>
      <c r="J81" s="78"/>
    </row>
    <row r="82" spans="1:10" x14ac:dyDescent="0.3">
      <c r="A82" s="76" t="str">
        <f t="shared" si="2"/>
        <v/>
      </c>
      <c r="B82" s="77"/>
      <c r="C82" s="78"/>
      <c r="D82" s="78"/>
      <c r="E82" s="78"/>
      <c r="F82" s="79"/>
      <c r="G82" s="79"/>
      <c r="H82" s="79"/>
      <c r="I82" s="78"/>
      <c r="J82" s="78"/>
    </row>
    <row r="83" spans="1:10" x14ac:dyDescent="0.3">
      <c r="A83" s="76" t="str">
        <f t="shared" si="2"/>
        <v/>
      </c>
      <c r="B83" s="77"/>
      <c r="C83" s="78"/>
      <c r="D83" s="78"/>
      <c r="E83" s="78"/>
      <c r="F83" s="79"/>
      <c r="G83" s="79"/>
      <c r="H83" s="79"/>
      <c r="I83" s="78"/>
      <c r="J83" s="78"/>
    </row>
    <row r="84" spans="1:10" x14ac:dyDescent="0.3">
      <c r="A84" s="76" t="str">
        <f t="shared" si="2"/>
        <v/>
      </c>
      <c r="B84" s="77"/>
      <c r="C84" s="78"/>
      <c r="D84" s="78"/>
      <c r="E84" s="78"/>
      <c r="F84" s="79"/>
      <c r="G84" s="79"/>
      <c r="H84" s="79"/>
      <c r="I84" s="78"/>
      <c r="J84" s="78"/>
    </row>
  </sheetData>
  <autoFilter ref="A4:J84" xr:uid="{00000000-0009-0000-0000-000005000000}"/>
  <pageMargins left="0.75" right="0.75" top="1" bottom="1" header="0.5" footer="0.5"/>
  <headerFooter>
    <oddHeader>&amp;R&amp;"Aptos"&amp;10&amp;K000000 Classification: Confidential&amp;1#_x000D_</oddHeader>
  </headerFooter>
  <extLst>
    <ext xmlns:x14="http://schemas.microsoft.com/office/spreadsheetml/2009/9/main" uri="{CCE6A557-97BC-4b89-ADB6-D9C93CAAB3DF}">
      <x14:dataValidations xmlns:xm="http://schemas.microsoft.com/office/excel/2006/main" count="2">
        <x14:dataValidation type="list" allowBlank="1" errorTitle="Not in list" error="Pick a value from the list." xr:uid="{00000000-0002-0000-0500-000000000000}">
          <x14:formula1>
            <xm:f>Lists!$L$5:$L$10</xm:f>
          </x14:formula1>
          <xm:sqref>C5:C84</xm:sqref>
        </x14:dataValidation>
        <x14:dataValidation type="list" allowBlank="1" errorTitle="Not in list" error="Pick a value from the list." xr:uid="{00000000-0002-0000-0500-000001000000}">
          <x14:formula1>
            <xm:f>Lists!$K$5:$K$6</xm:f>
          </x14:formula1>
          <xm:sqref>I5:I84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K44"/>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11" customWidth="1"/>
    <col min="3" max="3" width="14" customWidth="1"/>
    <col min="4" max="4" width="8" customWidth="1"/>
    <col min="5" max="5" width="48" customWidth="1"/>
    <col min="6" max="6" width="50" customWidth="1"/>
    <col min="7" max="7" width="32" customWidth="1"/>
    <col min="8" max="8" width="50" customWidth="1"/>
    <col min="9" max="9" width="36" customWidth="1"/>
    <col min="10" max="10" width="18" customWidth="1"/>
    <col min="11" max="11" width="9" customWidth="1"/>
  </cols>
  <sheetData>
    <row r="1" spans="1:11" ht="17.399999999999999" x14ac:dyDescent="0.3">
      <c r="A1" s="1" t="s">
        <v>637</v>
      </c>
    </row>
    <row r="2" spans="1:11" x14ac:dyDescent="0.3">
      <c r="A2" s="2" t="s">
        <v>638</v>
      </c>
    </row>
    <row r="4" spans="1:11" ht="30" customHeight="1" x14ac:dyDescent="0.3">
      <c r="A4" s="28" t="s">
        <v>33</v>
      </c>
      <c r="B4" s="28" t="s">
        <v>61</v>
      </c>
      <c r="C4" s="28" t="s">
        <v>515</v>
      </c>
      <c r="D4" s="28" t="s">
        <v>101</v>
      </c>
      <c r="E4" s="28" t="s">
        <v>639</v>
      </c>
      <c r="F4" s="28" t="s">
        <v>640</v>
      </c>
      <c r="G4" s="28" t="s">
        <v>641</v>
      </c>
      <c r="H4" s="28" t="s">
        <v>642</v>
      </c>
      <c r="I4" s="28" t="s">
        <v>643</v>
      </c>
      <c r="J4" s="28" t="s">
        <v>624</v>
      </c>
      <c r="K4" s="28" t="s">
        <v>644</v>
      </c>
    </row>
    <row r="5" spans="1:11" ht="103.95" customHeight="1" x14ac:dyDescent="0.3">
      <c r="A5" s="80">
        <v>1</v>
      </c>
      <c r="B5" s="81" t="s">
        <v>645</v>
      </c>
      <c r="C5" s="80" t="s">
        <v>521</v>
      </c>
      <c r="D5" s="80" t="s">
        <v>646</v>
      </c>
      <c r="E5" s="71" t="s">
        <v>647</v>
      </c>
      <c r="F5" s="71" t="s">
        <v>648</v>
      </c>
      <c r="G5" s="71" t="s">
        <v>649</v>
      </c>
      <c r="H5" s="71" t="s">
        <v>650</v>
      </c>
      <c r="I5" s="71" t="s">
        <v>651</v>
      </c>
      <c r="J5" s="80" t="s">
        <v>630</v>
      </c>
      <c r="K5" s="80">
        <v>5</v>
      </c>
    </row>
    <row r="6" spans="1:11" ht="103.95" customHeight="1" x14ac:dyDescent="0.3">
      <c r="A6" s="80">
        <v>2</v>
      </c>
      <c r="B6" s="81" t="s">
        <v>645</v>
      </c>
      <c r="C6" s="80" t="s">
        <v>521</v>
      </c>
      <c r="D6" s="80" t="s">
        <v>106</v>
      </c>
      <c r="E6" s="71" t="s">
        <v>652</v>
      </c>
      <c r="F6" s="71" t="s">
        <v>653</v>
      </c>
      <c r="G6" s="71" t="s">
        <v>654</v>
      </c>
      <c r="H6" s="71" t="s">
        <v>655</v>
      </c>
      <c r="I6" s="71" t="s">
        <v>656</v>
      </c>
      <c r="J6" s="80" t="s">
        <v>657</v>
      </c>
      <c r="K6" s="80">
        <v>6</v>
      </c>
    </row>
    <row r="7" spans="1:11" x14ac:dyDescent="0.3">
      <c r="A7" s="76" t="str">
        <f t="shared" ref="A7:A44" si="0">IF($B7="","",ROW()-4)</f>
        <v/>
      </c>
      <c r="B7" s="77"/>
      <c r="C7" s="78"/>
      <c r="D7" s="78"/>
      <c r="E7" s="79"/>
      <c r="F7" s="79"/>
      <c r="G7" s="79"/>
      <c r="H7" s="79"/>
      <c r="I7" s="79"/>
      <c r="J7" s="78"/>
      <c r="K7" s="78"/>
    </row>
    <row r="8" spans="1:11" x14ac:dyDescent="0.3">
      <c r="A8" s="76" t="str">
        <f t="shared" si="0"/>
        <v/>
      </c>
      <c r="B8" s="77"/>
      <c r="C8" s="78"/>
      <c r="D8" s="78"/>
      <c r="E8" s="79"/>
      <c r="F8" s="79"/>
      <c r="G8" s="79"/>
      <c r="H8" s="79"/>
      <c r="I8" s="79"/>
      <c r="J8" s="78"/>
      <c r="K8" s="78"/>
    </row>
    <row r="9" spans="1:11" x14ac:dyDescent="0.3">
      <c r="A9" s="76" t="str">
        <f t="shared" si="0"/>
        <v/>
      </c>
      <c r="B9" s="77"/>
      <c r="C9" s="78"/>
      <c r="D9" s="78"/>
      <c r="E9" s="79"/>
      <c r="F9" s="79"/>
      <c r="G9" s="79"/>
      <c r="H9" s="79"/>
      <c r="I9" s="79"/>
      <c r="J9" s="78"/>
      <c r="K9" s="78"/>
    </row>
    <row r="10" spans="1:11" x14ac:dyDescent="0.3">
      <c r="A10" s="76" t="str">
        <f t="shared" si="0"/>
        <v/>
      </c>
      <c r="B10" s="77"/>
      <c r="C10" s="78"/>
      <c r="D10" s="78"/>
      <c r="E10" s="79"/>
      <c r="F10" s="79"/>
      <c r="G10" s="79"/>
      <c r="H10" s="79"/>
      <c r="I10" s="79"/>
      <c r="J10" s="78"/>
      <c r="K10" s="78"/>
    </row>
    <row r="11" spans="1:11" x14ac:dyDescent="0.3">
      <c r="A11" s="76" t="str">
        <f t="shared" si="0"/>
        <v/>
      </c>
      <c r="B11" s="77"/>
      <c r="C11" s="78"/>
      <c r="D11" s="78"/>
      <c r="E11" s="79"/>
      <c r="F11" s="79"/>
      <c r="G11" s="79"/>
      <c r="H11" s="79"/>
      <c r="I11" s="79"/>
      <c r="J11" s="78"/>
      <c r="K11" s="78"/>
    </row>
    <row r="12" spans="1:11" x14ac:dyDescent="0.3">
      <c r="A12" s="76" t="str">
        <f t="shared" si="0"/>
        <v/>
      </c>
      <c r="B12" s="77"/>
      <c r="C12" s="78"/>
      <c r="D12" s="78"/>
      <c r="E12" s="79"/>
      <c r="F12" s="79"/>
      <c r="G12" s="79"/>
      <c r="H12" s="79"/>
      <c r="I12" s="79"/>
      <c r="J12" s="78"/>
      <c r="K12" s="78"/>
    </row>
    <row r="13" spans="1:11" x14ac:dyDescent="0.3">
      <c r="A13" s="76" t="str">
        <f t="shared" si="0"/>
        <v/>
      </c>
      <c r="B13" s="77"/>
      <c r="C13" s="78"/>
      <c r="D13" s="78"/>
      <c r="E13" s="79"/>
      <c r="F13" s="79"/>
      <c r="G13" s="79"/>
      <c r="H13" s="79"/>
      <c r="I13" s="79"/>
      <c r="J13" s="78"/>
      <c r="K13" s="78"/>
    </row>
    <row r="14" spans="1:11" x14ac:dyDescent="0.3">
      <c r="A14" s="76" t="str">
        <f t="shared" si="0"/>
        <v/>
      </c>
      <c r="B14" s="77"/>
      <c r="C14" s="78"/>
      <c r="D14" s="78"/>
      <c r="E14" s="79"/>
      <c r="F14" s="79"/>
      <c r="G14" s="79"/>
      <c r="H14" s="79"/>
      <c r="I14" s="79"/>
      <c r="J14" s="78"/>
      <c r="K14" s="78"/>
    </row>
    <row r="15" spans="1:11" x14ac:dyDescent="0.3">
      <c r="A15" s="76" t="str">
        <f t="shared" si="0"/>
        <v/>
      </c>
      <c r="B15" s="77"/>
      <c r="C15" s="78"/>
      <c r="D15" s="78"/>
      <c r="E15" s="79"/>
      <c r="F15" s="79"/>
      <c r="G15" s="79"/>
      <c r="H15" s="79"/>
      <c r="I15" s="79"/>
      <c r="J15" s="78"/>
      <c r="K15" s="78"/>
    </row>
    <row r="16" spans="1:11" x14ac:dyDescent="0.3">
      <c r="A16" s="76" t="str">
        <f t="shared" si="0"/>
        <v/>
      </c>
      <c r="B16" s="77"/>
      <c r="C16" s="78"/>
      <c r="D16" s="78"/>
      <c r="E16" s="79"/>
      <c r="F16" s="79"/>
      <c r="G16" s="79"/>
      <c r="H16" s="79"/>
      <c r="I16" s="79"/>
      <c r="J16" s="78"/>
      <c r="K16" s="78"/>
    </row>
    <row r="17" spans="1:11" x14ac:dyDescent="0.3">
      <c r="A17" s="76" t="str">
        <f t="shared" si="0"/>
        <v/>
      </c>
      <c r="B17" s="77"/>
      <c r="C17" s="78"/>
      <c r="D17" s="78"/>
      <c r="E17" s="79"/>
      <c r="F17" s="79"/>
      <c r="G17" s="79"/>
      <c r="H17" s="79"/>
      <c r="I17" s="79"/>
      <c r="J17" s="78"/>
      <c r="K17" s="78"/>
    </row>
    <row r="18" spans="1:11" x14ac:dyDescent="0.3">
      <c r="A18" s="76" t="str">
        <f t="shared" si="0"/>
        <v/>
      </c>
      <c r="B18" s="77"/>
      <c r="C18" s="78"/>
      <c r="D18" s="78"/>
      <c r="E18" s="79"/>
      <c r="F18" s="79"/>
      <c r="G18" s="79"/>
      <c r="H18" s="79"/>
      <c r="I18" s="79"/>
      <c r="J18" s="78"/>
      <c r="K18" s="78"/>
    </row>
    <row r="19" spans="1:11" x14ac:dyDescent="0.3">
      <c r="A19" s="76" t="str">
        <f t="shared" si="0"/>
        <v/>
      </c>
      <c r="B19" s="77"/>
      <c r="C19" s="78"/>
      <c r="D19" s="78"/>
      <c r="E19" s="79"/>
      <c r="F19" s="79"/>
      <c r="G19" s="79"/>
      <c r="H19" s="79"/>
      <c r="I19" s="79"/>
      <c r="J19" s="78"/>
      <c r="K19" s="78"/>
    </row>
    <row r="20" spans="1:11" x14ac:dyDescent="0.3">
      <c r="A20" s="76" t="str">
        <f t="shared" si="0"/>
        <v/>
      </c>
      <c r="B20" s="77"/>
      <c r="C20" s="78"/>
      <c r="D20" s="78"/>
      <c r="E20" s="79"/>
      <c r="F20" s="79"/>
      <c r="G20" s="79"/>
      <c r="H20" s="79"/>
      <c r="I20" s="79"/>
      <c r="J20" s="78"/>
      <c r="K20" s="78"/>
    </row>
    <row r="21" spans="1:11" x14ac:dyDescent="0.3">
      <c r="A21" s="76" t="str">
        <f t="shared" si="0"/>
        <v/>
      </c>
      <c r="B21" s="77"/>
      <c r="C21" s="78"/>
      <c r="D21" s="78"/>
      <c r="E21" s="79"/>
      <c r="F21" s="79"/>
      <c r="G21" s="79"/>
      <c r="H21" s="79"/>
      <c r="I21" s="79"/>
      <c r="J21" s="78"/>
      <c r="K21" s="78"/>
    </row>
    <row r="22" spans="1:11" x14ac:dyDescent="0.3">
      <c r="A22" s="76" t="str">
        <f t="shared" si="0"/>
        <v/>
      </c>
      <c r="B22" s="77"/>
      <c r="C22" s="78"/>
      <c r="D22" s="78"/>
      <c r="E22" s="79"/>
      <c r="F22" s="79"/>
      <c r="G22" s="79"/>
      <c r="H22" s="79"/>
      <c r="I22" s="79"/>
      <c r="J22" s="78"/>
      <c r="K22" s="78"/>
    </row>
    <row r="23" spans="1:11" x14ac:dyDescent="0.3">
      <c r="A23" s="76" t="str">
        <f t="shared" si="0"/>
        <v/>
      </c>
      <c r="B23" s="77"/>
      <c r="C23" s="78"/>
      <c r="D23" s="78"/>
      <c r="E23" s="79"/>
      <c r="F23" s="79"/>
      <c r="G23" s="79"/>
      <c r="H23" s="79"/>
      <c r="I23" s="79"/>
      <c r="J23" s="78"/>
      <c r="K23" s="78"/>
    </row>
    <row r="24" spans="1:11" x14ac:dyDescent="0.3">
      <c r="A24" s="76" t="str">
        <f t="shared" si="0"/>
        <v/>
      </c>
      <c r="B24" s="77"/>
      <c r="C24" s="78"/>
      <c r="D24" s="78"/>
      <c r="E24" s="79"/>
      <c r="F24" s="79"/>
      <c r="G24" s="79"/>
      <c r="H24" s="79"/>
      <c r="I24" s="79"/>
      <c r="J24" s="78"/>
      <c r="K24" s="78"/>
    </row>
    <row r="25" spans="1:11" x14ac:dyDescent="0.3">
      <c r="A25" s="76" t="str">
        <f t="shared" si="0"/>
        <v/>
      </c>
      <c r="B25" s="77"/>
      <c r="C25" s="78"/>
      <c r="D25" s="78"/>
      <c r="E25" s="79"/>
      <c r="F25" s="79"/>
      <c r="G25" s="79"/>
      <c r="H25" s="79"/>
      <c r="I25" s="79"/>
      <c r="J25" s="78"/>
      <c r="K25" s="78"/>
    </row>
    <row r="26" spans="1:11" x14ac:dyDescent="0.3">
      <c r="A26" s="76" t="str">
        <f t="shared" si="0"/>
        <v/>
      </c>
      <c r="B26" s="77"/>
      <c r="C26" s="78"/>
      <c r="D26" s="78"/>
      <c r="E26" s="79"/>
      <c r="F26" s="79"/>
      <c r="G26" s="79"/>
      <c r="H26" s="79"/>
      <c r="I26" s="79"/>
      <c r="J26" s="78"/>
      <c r="K26" s="78"/>
    </row>
    <row r="27" spans="1:11" x14ac:dyDescent="0.3">
      <c r="A27" s="76" t="str">
        <f t="shared" si="0"/>
        <v/>
      </c>
      <c r="B27" s="77"/>
      <c r="C27" s="78"/>
      <c r="D27" s="78"/>
      <c r="E27" s="79"/>
      <c r="F27" s="79"/>
      <c r="G27" s="79"/>
      <c r="H27" s="79"/>
      <c r="I27" s="79"/>
      <c r="J27" s="78"/>
      <c r="K27" s="78"/>
    </row>
    <row r="28" spans="1:11" x14ac:dyDescent="0.3">
      <c r="A28" s="76" t="str">
        <f t="shared" si="0"/>
        <v/>
      </c>
      <c r="B28" s="77"/>
      <c r="C28" s="78"/>
      <c r="D28" s="78"/>
      <c r="E28" s="79"/>
      <c r="F28" s="79"/>
      <c r="G28" s="79"/>
      <c r="H28" s="79"/>
      <c r="I28" s="79"/>
      <c r="J28" s="78"/>
      <c r="K28" s="78"/>
    </row>
    <row r="29" spans="1:11" x14ac:dyDescent="0.3">
      <c r="A29" s="76" t="str">
        <f t="shared" si="0"/>
        <v/>
      </c>
      <c r="B29" s="77"/>
      <c r="C29" s="78"/>
      <c r="D29" s="78"/>
      <c r="E29" s="79"/>
      <c r="F29" s="79"/>
      <c r="G29" s="79"/>
      <c r="H29" s="79"/>
      <c r="I29" s="79"/>
      <c r="J29" s="78"/>
      <c r="K29" s="78"/>
    </row>
    <row r="30" spans="1:11" x14ac:dyDescent="0.3">
      <c r="A30" s="76" t="str">
        <f t="shared" si="0"/>
        <v/>
      </c>
      <c r="B30" s="77"/>
      <c r="C30" s="78"/>
      <c r="D30" s="78"/>
      <c r="E30" s="79"/>
      <c r="F30" s="79"/>
      <c r="G30" s="79"/>
      <c r="H30" s="79"/>
      <c r="I30" s="79"/>
      <c r="J30" s="78"/>
      <c r="K30" s="78"/>
    </row>
    <row r="31" spans="1:11" x14ac:dyDescent="0.3">
      <c r="A31" s="76" t="str">
        <f t="shared" si="0"/>
        <v/>
      </c>
      <c r="B31" s="77"/>
      <c r="C31" s="78"/>
      <c r="D31" s="78"/>
      <c r="E31" s="79"/>
      <c r="F31" s="79"/>
      <c r="G31" s="79"/>
      <c r="H31" s="79"/>
      <c r="I31" s="79"/>
      <c r="J31" s="78"/>
      <c r="K31" s="78"/>
    </row>
    <row r="32" spans="1:11" x14ac:dyDescent="0.3">
      <c r="A32" s="76" t="str">
        <f t="shared" si="0"/>
        <v/>
      </c>
      <c r="B32" s="77"/>
      <c r="C32" s="78"/>
      <c r="D32" s="78"/>
      <c r="E32" s="79"/>
      <c r="F32" s="79"/>
      <c r="G32" s="79"/>
      <c r="H32" s="79"/>
      <c r="I32" s="79"/>
      <c r="J32" s="78"/>
      <c r="K32" s="78"/>
    </row>
    <row r="33" spans="1:11" x14ac:dyDescent="0.3">
      <c r="A33" s="76" t="str">
        <f t="shared" si="0"/>
        <v/>
      </c>
      <c r="B33" s="77"/>
      <c r="C33" s="78"/>
      <c r="D33" s="78"/>
      <c r="E33" s="79"/>
      <c r="F33" s="79"/>
      <c r="G33" s="79"/>
      <c r="H33" s="79"/>
      <c r="I33" s="79"/>
      <c r="J33" s="78"/>
      <c r="K33" s="78"/>
    </row>
    <row r="34" spans="1:11" x14ac:dyDescent="0.3">
      <c r="A34" s="76" t="str">
        <f t="shared" si="0"/>
        <v/>
      </c>
      <c r="B34" s="77"/>
      <c r="C34" s="78"/>
      <c r="D34" s="78"/>
      <c r="E34" s="79"/>
      <c r="F34" s="79"/>
      <c r="G34" s="79"/>
      <c r="H34" s="79"/>
      <c r="I34" s="79"/>
      <c r="J34" s="78"/>
      <c r="K34" s="78"/>
    </row>
    <row r="35" spans="1:11" x14ac:dyDescent="0.3">
      <c r="A35" s="76" t="str">
        <f t="shared" si="0"/>
        <v/>
      </c>
      <c r="B35" s="77"/>
      <c r="C35" s="78"/>
      <c r="D35" s="78"/>
      <c r="E35" s="79"/>
      <c r="F35" s="79"/>
      <c r="G35" s="79"/>
      <c r="H35" s="79"/>
      <c r="I35" s="79"/>
      <c r="J35" s="78"/>
      <c r="K35" s="78"/>
    </row>
    <row r="36" spans="1:11" x14ac:dyDescent="0.3">
      <c r="A36" s="76" t="str">
        <f t="shared" si="0"/>
        <v/>
      </c>
      <c r="B36" s="77"/>
      <c r="C36" s="78"/>
      <c r="D36" s="78"/>
      <c r="E36" s="79"/>
      <c r="F36" s="79"/>
      <c r="G36" s="79"/>
      <c r="H36" s="79"/>
      <c r="I36" s="79"/>
      <c r="J36" s="78"/>
      <c r="K36" s="78"/>
    </row>
    <row r="37" spans="1:11" x14ac:dyDescent="0.3">
      <c r="A37" s="76" t="str">
        <f t="shared" si="0"/>
        <v/>
      </c>
      <c r="B37" s="77"/>
      <c r="C37" s="78"/>
      <c r="D37" s="78"/>
      <c r="E37" s="79"/>
      <c r="F37" s="79"/>
      <c r="G37" s="79"/>
      <c r="H37" s="79"/>
      <c r="I37" s="79"/>
      <c r="J37" s="78"/>
      <c r="K37" s="78"/>
    </row>
    <row r="38" spans="1:11" x14ac:dyDescent="0.3">
      <c r="A38" s="76" t="str">
        <f t="shared" si="0"/>
        <v/>
      </c>
      <c r="B38" s="77"/>
      <c r="C38" s="78"/>
      <c r="D38" s="78"/>
      <c r="E38" s="79"/>
      <c r="F38" s="79"/>
      <c r="G38" s="79"/>
      <c r="H38" s="79"/>
      <c r="I38" s="79"/>
      <c r="J38" s="78"/>
      <c r="K38" s="78"/>
    </row>
    <row r="39" spans="1:11" x14ac:dyDescent="0.3">
      <c r="A39" s="76" t="str">
        <f t="shared" si="0"/>
        <v/>
      </c>
      <c r="B39" s="77"/>
      <c r="C39" s="78"/>
      <c r="D39" s="78"/>
      <c r="E39" s="79"/>
      <c r="F39" s="79"/>
      <c r="G39" s="79"/>
      <c r="H39" s="79"/>
      <c r="I39" s="79"/>
      <c r="J39" s="78"/>
      <c r="K39" s="78"/>
    </row>
    <row r="40" spans="1:11" x14ac:dyDescent="0.3">
      <c r="A40" s="76" t="str">
        <f t="shared" si="0"/>
        <v/>
      </c>
      <c r="B40" s="77"/>
      <c r="C40" s="78"/>
      <c r="D40" s="78"/>
      <c r="E40" s="79"/>
      <c r="F40" s="79"/>
      <c r="G40" s="79"/>
      <c r="H40" s="79"/>
      <c r="I40" s="79"/>
      <c r="J40" s="78"/>
      <c r="K40" s="78"/>
    </row>
    <row r="41" spans="1:11" x14ac:dyDescent="0.3">
      <c r="A41" s="76" t="str">
        <f t="shared" si="0"/>
        <v/>
      </c>
      <c r="B41" s="77"/>
      <c r="C41" s="78"/>
      <c r="D41" s="78"/>
      <c r="E41" s="79"/>
      <c r="F41" s="79"/>
      <c r="G41" s="79"/>
      <c r="H41" s="79"/>
      <c r="I41" s="79"/>
      <c r="J41" s="78"/>
      <c r="K41" s="78"/>
    </row>
    <row r="42" spans="1:11" x14ac:dyDescent="0.3">
      <c r="A42" s="76" t="str">
        <f t="shared" si="0"/>
        <v/>
      </c>
      <c r="B42" s="77"/>
      <c r="C42" s="78"/>
      <c r="D42" s="78"/>
      <c r="E42" s="79"/>
      <c r="F42" s="79"/>
      <c r="G42" s="79"/>
      <c r="H42" s="79"/>
      <c r="I42" s="79"/>
      <c r="J42" s="78"/>
      <c r="K42" s="78"/>
    </row>
    <row r="43" spans="1:11" x14ac:dyDescent="0.3">
      <c r="A43" s="76" t="str">
        <f t="shared" si="0"/>
        <v/>
      </c>
      <c r="B43" s="77"/>
      <c r="C43" s="78"/>
      <c r="D43" s="78"/>
      <c r="E43" s="79"/>
      <c r="F43" s="79"/>
      <c r="G43" s="79"/>
      <c r="H43" s="79"/>
      <c r="I43" s="79"/>
      <c r="J43" s="78"/>
      <c r="K43" s="78"/>
    </row>
    <row r="44" spans="1:11" x14ac:dyDescent="0.3">
      <c r="A44" s="76" t="str">
        <f t="shared" si="0"/>
        <v/>
      </c>
      <c r="B44" s="77"/>
      <c r="C44" s="78"/>
      <c r="D44" s="78"/>
      <c r="E44" s="79"/>
      <c r="F44" s="79"/>
      <c r="G44" s="79"/>
      <c r="H44" s="79"/>
      <c r="I44" s="79"/>
      <c r="J44" s="78"/>
      <c r="K44" s="78"/>
    </row>
  </sheetData>
  <autoFilter ref="A4:K44" xr:uid="{00000000-0009-0000-0000-000006000000}"/>
  <pageMargins left="0.75" right="0.75" top="1" bottom="1" header="0.5" footer="0.5"/>
  <headerFooter>
    <oddHeader>&amp;R&amp;"Aptos"&amp;10&amp;K000000 Classification: Confidential&amp;1#_x000D_</oddHeader>
  </headerFooter>
  <extLst>
    <ext xmlns:x14="http://schemas.microsoft.com/office/spreadsheetml/2009/9/main" uri="{CCE6A557-97BC-4b89-ADB6-D9C93CAAB3DF}">
      <x14:dataValidations xmlns:xm="http://schemas.microsoft.com/office/excel/2006/main" count="1">
        <x14:dataValidation type="list" allowBlank="1" errorTitle="Not in list" error="Pick a value from the list." xr:uid="{00000000-0002-0000-0600-000000000000}">
          <x14:formula1>
            <xm:f>Lists!$L$5:$L$10</xm:f>
          </x14:formula1>
          <xm:sqref>C5:C44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J44"/>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11" customWidth="1"/>
    <col min="3" max="3" width="14" customWidth="1"/>
    <col min="4" max="4" width="8" customWidth="1"/>
    <col min="5" max="5" width="34" customWidth="1"/>
    <col min="6" max="7" width="48" customWidth="1"/>
    <col min="8" max="8" width="50" customWidth="1"/>
    <col min="9" max="9" width="18" customWidth="1"/>
    <col min="10" max="10" width="12" customWidth="1"/>
  </cols>
  <sheetData>
    <row r="1" spans="1:10" ht="17.399999999999999" x14ac:dyDescent="0.3">
      <c r="A1" s="1" t="s">
        <v>658</v>
      </c>
    </row>
    <row r="2" spans="1:10" x14ac:dyDescent="0.3">
      <c r="A2" s="2" t="s">
        <v>659</v>
      </c>
    </row>
    <row r="4" spans="1:10" ht="30" customHeight="1" x14ac:dyDescent="0.3">
      <c r="A4" s="28" t="s">
        <v>33</v>
      </c>
      <c r="B4" s="28" t="s">
        <v>61</v>
      </c>
      <c r="C4" s="28" t="s">
        <v>515</v>
      </c>
      <c r="D4" s="28" t="s">
        <v>101</v>
      </c>
      <c r="E4" s="28" t="s">
        <v>660</v>
      </c>
      <c r="F4" s="28" t="s">
        <v>661</v>
      </c>
      <c r="G4" s="28" t="s">
        <v>662</v>
      </c>
      <c r="H4" s="28" t="s">
        <v>663</v>
      </c>
      <c r="I4" s="28" t="s">
        <v>664</v>
      </c>
      <c r="J4" s="28" t="s">
        <v>665</v>
      </c>
    </row>
    <row r="5" spans="1:10" ht="91.95" customHeight="1" x14ac:dyDescent="0.3">
      <c r="A5" s="73">
        <v>1</v>
      </c>
      <c r="B5" s="74" t="s">
        <v>601</v>
      </c>
      <c r="C5" s="73" t="s">
        <v>533</v>
      </c>
      <c r="D5" s="73" t="s">
        <v>261</v>
      </c>
      <c r="E5" s="75" t="s">
        <v>666</v>
      </c>
      <c r="F5" s="75" t="s">
        <v>667</v>
      </c>
      <c r="G5" s="75" t="s">
        <v>668</v>
      </c>
      <c r="H5" s="75" t="s">
        <v>669</v>
      </c>
      <c r="I5" s="73" t="s">
        <v>609</v>
      </c>
      <c r="J5" s="73" t="s">
        <v>605</v>
      </c>
    </row>
    <row r="6" spans="1:10" x14ac:dyDescent="0.3">
      <c r="A6" s="76" t="str">
        <f t="shared" ref="A6:A44" si="0">IF($B6="","",ROW()-4)</f>
        <v/>
      </c>
      <c r="B6" s="77"/>
      <c r="C6" s="78"/>
      <c r="D6" s="78"/>
      <c r="E6" s="79"/>
      <c r="F6" s="79"/>
      <c r="G6" s="79"/>
      <c r="H6" s="79"/>
      <c r="I6" s="78"/>
      <c r="J6" s="78"/>
    </row>
    <row r="7" spans="1:10" x14ac:dyDescent="0.3">
      <c r="A7" s="76" t="str">
        <f t="shared" si="0"/>
        <v/>
      </c>
      <c r="B7" s="77"/>
      <c r="C7" s="78"/>
      <c r="D7" s="78"/>
      <c r="E7" s="79"/>
      <c r="F7" s="79"/>
      <c r="G7" s="79"/>
      <c r="H7" s="79"/>
      <c r="I7" s="78"/>
      <c r="J7" s="78"/>
    </row>
    <row r="8" spans="1:10" x14ac:dyDescent="0.3">
      <c r="A8" s="76" t="str">
        <f t="shared" si="0"/>
        <v/>
      </c>
      <c r="B8" s="77"/>
      <c r="C8" s="78"/>
      <c r="D8" s="78"/>
      <c r="E8" s="79"/>
      <c r="F8" s="79"/>
      <c r="G8" s="79"/>
      <c r="H8" s="79"/>
      <c r="I8" s="78"/>
      <c r="J8" s="78"/>
    </row>
    <row r="9" spans="1:10" x14ac:dyDescent="0.3">
      <c r="A9" s="76" t="str">
        <f t="shared" si="0"/>
        <v/>
      </c>
      <c r="B9" s="77"/>
      <c r="C9" s="78"/>
      <c r="D9" s="78"/>
      <c r="E9" s="79"/>
      <c r="F9" s="79"/>
      <c r="G9" s="79"/>
      <c r="H9" s="79"/>
      <c r="I9" s="78"/>
      <c r="J9" s="78"/>
    </row>
    <row r="10" spans="1:10" x14ac:dyDescent="0.3">
      <c r="A10" s="76" t="str">
        <f t="shared" si="0"/>
        <v/>
      </c>
      <c r="B10" s="77"/>
      <c r="C10" s="78"/>
      <c r="D10" s="78"/>
      <c r="E10" s="79"/>
      <c r="F10" s="79"/>
      <c r="G10" s="79"/>
      <c r="H10" s="79"/>
      <c r="I10" s="78"/>
      <c r="J10" s="78"/>
    </row>
    <row r="11" spans="1:10" x14ac:dyDescent="0.3">
      <c r="A11" s="76" t="str">
        <f t="shared" si="0"/>
        <v/>
      </c>
      <c r="B11" s="77"/>
      <c r="C11" s="78"/>
      <c r="D11" s="78"/>
      <c r="E11" s="79"/>
      <c r="F11" s="79"/>
      <c r="G11" s="79"/>
      <c r="H11" s="79"/>
      <c r="I11" s="78"/>
      <c r="J11" s="78"/>
    </row>
    <row r="12" spans="1:10" x14ac:dyDescent="0.3">
      <c r="A12" s="76" t="str">
        <f t="shared" si="0"/>
        <v/>
      </c>
      <c r="B12" s="77"/>
      <c r="C12" s="78"/>
      <c r="D12" s="78"/>
      <c r="E12" s="79"/>
      <c r="F12" s="79"/>
      <c r="G12" s="79"/>
      <c r="H12" s="79"/>
      <c r="I12" s="78"/>
      <c r="J12" s="78"/>
    </row>
    <row r="13" spans="1:10" x14ac:dyDescent="0.3">
      <c r="A13" s="76" t="str">
        <f t="shared" si="0"/>
        <v/>
      </c>
      <c r="B13" s="77"/>
      <c r="C13" s="78"/>
      <c r="D13" s="78"/>
      <c r="E13" s="79"/>
      <c r="F13" s="79"/>
      <c r="G13" s="79"/>
      <c r="H13" s="79"/>
      <c r="I13" s="78"/>
      <c r="J13" s="78"/>
    </row>
    <row r="14" spans="1:10" x14ac:dyDescent="0.3">
      <c r="A14" s="76" t="str">
        <f t="shared" si="0"/>
        <v/>
      </c>
      <c r="B14" s="77"/>
      <c r="C14" s="78"/>
      <c r="D14" s="78"/>
      <c r="E14" s="79"/>
      <c r="F14" s="79"/>
      <c r="G14" s="79"/>
      <c r="H14" s="79"/>
      <c r="I14" s="78"/>
      <c r="J14" s="78"/>
    </row>
    <row r="15" spans="1:10" x14ac:dyDescent="0.3">
      <c r="A15" s="76" t="str">
        <f t="shared" si="0"/>
        <v/>
      </c>
      <c r="B15" s="77"/>
      <c r="C15" s="78"/>
      <c r="D15" s="78"/>
      <c r="E15" s="79"/>
      <c r="F15" s="79"/>
      <c r="G15" s="79"/>
      <c r="H15" s="79"/>
      <c r="I15" s="78"/>
      <c r="J15" s="78"/>
    </row>
    <row r="16" spans="1:10" x14ac:dyDescent="0.3">
      <c r="A16" s="76" t="str">
        <f t="shared" si="0"/>
        <v/>
      </c>
      <c r="B16" s="77"/>
      <c r="C16" s="78"/>
      <c r="D16" s="78"/>
      <c r="E16" s="79"/>
      <c r="F16" s="79"/>
      <c r="G16" s="79"/>
      <c r="H16" s="79"/>
      <c r="I16" s="78"/>
      <c r="J16" s="78"/>
    </row>
    <row r="17" spans="1:10" x14ac:dyDescent="0.3">
      <c r="A17" s="76" t="str">
        <f t="shared" si="0"/>
        <v/>
      </c>
      <c r="B17" s="77"/>
      <c r="C17" s="78"/>
      <c r="D17" s="78"/>
      <c r="E17" s="79"/>
      <c r="F17" s="79"/>
      <c r="G17" s="79"/>
      <c r="H17" s="79"/>
      <c r="I17" s="78"/>
      <c r="J17" s="78"/>
    </row>
    <row r="18" spans="1:10" x14ac:dyDescent="0.3">
      <c r="A18" s="76" t="str">
        <f t="shared" si="0"/>
        <v/>
      </c>
      <c r="B18" s="77"/>
      <c r="C18" s="78"/>
      <c r="D18" s="78"/>
      <c r="E18" s="79"/>
      <c r="F18" s="79"/>
      <c r="G18" s="79"/>
      <c r="H18" s="79"/>
      <c r="I18" s="78"/>
      <c r="J18" s="78"/>
    </row>
    <row r="19" spans="1:10" x14ac:dyDescent="0.3">
      <c r="A19" s="76" t="str">
        <f t="shared" si="0"/>
        <v/>
      </c>
      <c r="B19" s="77"/>
      <c r="C19" s="78"/>
      <c r="D19" s="78"/>
      <c r="E19" s="79"/>
      <c r="F19" s="79"/>
      <c r="G19" s="79"/>
      <c r="H19" s="79"/>
      <c r="I19" s="78"/>
      <c r="J19" s="78"/>
    </row>
    <row r="20" spans="1:10" x14ac:dyDescent="0.3">
      <c r="A20" s="76" t="str">
        <f t="shared" si="0"/>
        <v/>
      </c>
      <c r="B20" s="77"/>
      <c r="C20" s="78"/>
      <c r="D20" s="78"/>
      <c r="E20" s="79"/>
      <c r="F20" s="79"/>
      <c r="G20" s="79"/>
      <c r="H20" s="79"/>
      <c r="I20" s="78"/>
      <c r="J20" s="78"/>
    </row>
    <row r="21" spans="1:10" x14ac:dyDescent="0.3">
      <c r="A21" s="76" t="str">
        <f t="shared" si="0"/>
        <v/>
      </c>
      <c r="B21" s="77"/>
      <c r="C21" s="78"/>
      <c r="D21" s="78"/>
      <c r="E21" s="79"/>
      <c r="F21" s="79"/>
      <c r="G21" s="79"/>
      <c r="H21" s="79"/>
      <c r="I21" s="78"/>
      <c r="J21" s="78"/>
    </row>
    <row r="22" spans="1:10" x14ac:dyDescent="0.3">
      <c r="A22" s="76" t="str">
        <f t="shared" si="0"/>
        <v/>
      </c>
      <c r="B22" s="77"/>
      <c r="C22" s="78"/>
      <c r="D22" s="78"/>
      <c r="E22" s="79"/>
      <c r="F22" s="79"/>
      <c r="G22" s="79"/>
      <c r="H22" s="79"/>
      <c r="I22" s="78"/>
      <c r="J22" s="78"/>
    </row>
    <row r="23" spans="1:10" x14ac:dyDescent="0.3">
      <c r="A23" s="76" t="str">
        <f t="shared" si="0"/>
        <v/>
      </c>
      <c r="B23" s="77"/>
      <c r="C23" s="78"/>
      <c r="D23" s="78"/>
      <c r="E23" s="79"/>
      <c r="F23" s="79"/>
      <c r="G23" s="79"/>
      <c r="H23" s="79"/>
      <c r="I23" s="78"/>
      <c r="J23" s="78"/>
    </row>
    <row r="24" spans="1:10" x14ac:dyDescent="0.3">
      <c r="A24" s="76" t="str">
        <f t="shared" si="0"/>
        <v/>
      </c>
      <c r="B24" s="77"/>
      <c r="C24" s="78"/>
      <c r="D24" s="78"/>
      <c r="E24" s="79"/>
      <c r="F24" s="79"/>
      <c r="G24" s="79"/>
      <c r="H24" s="79"/>
      <c r="I24" s="78"/>
      <c r="J24" s="78"/>
    </row>
    <row r="25" spans="1:10" x14ac:dyDescent="0.3">
      <c r="A25" s="76" t="str">
        <f t="shared" si="0"/>
        <v/>
      </c>
      <c r="B25" s="77"/>
      <c r="C25" s="78"/>
      <c r="D25" s="78"/>
      <c r="E25" s="79"/>
      <c r="F25" s="79"/>
      <c r="G25" s="79"/>
      <c r="H25" s="79"/>
      <c r="I25" s="78"/>
      <c r="J25" s="78"/>
    </row>
    <row r="26" spans="1:10" x14ac:dyDescent="0.3">
      <c r="A26" s="76" t="str">
        <f t="shared" si="0"/>
        <v/>
      </c>
      <c r="B26" s="77"/>
      <c r="C26" s="78"/>
      <c r="D26" s="78"/>
      <c r="E26" s="79"/>
      <c r="F26" s="79"/>
      <c r="G26" s="79"/>
      <c r="H26" s="79"/>
      <c r="I26" s="78"/>
      <c r="J26" s="78"/>
    </row>
    <row r="27" spans="1:10" x14ac:dyDescent="0.3">
      <c r="A27" s="76" t="str">
        <f t="shared" si="0"/>
        <v/>
      </c>
      <c r="B27" s="77"/>
      <c r="C27" s="78"/>
      <c r="D27" s="78"/>
      <c r="E27" s="79"/>
      <c r="F27" s="79"/>
      <c r="G27" s="79"/>
      <c r="H27" s="79"/>
      <c r="I27" s="78"/>
      <c r="J27" s="78"/>
    </row>
    <row r="28" spans="1:10" x14ac:dyDescent="0.3">
      <c r="A28" s="76" t="str">
        <f t="shared" si="0"/>
        <v/>
      </c>
      <c r="B28" s="77"/>
      <c r="C28" s="78"/>
      <c r="D28" s="78"/>
      <c r="E28" s="79"/>
      <c r="F28" s="79"/>
      <c r="G28" s="79"/>
      <c r="H28" s="79"/>
      <c r="I28" s="78"/>
      <c r="J28" s="78"/>
    </row>
    <row r="29" spans="1:10" x14ac:dyDescent="0.3">
      <c r="A29" s="76" t="str">
        <f t="shared" si="0"/>
        <v/>
      </c>
      <c r="B29" s="77"/>
      <c r="C29" s="78"/>
      <c r="D29" s="78"/>
      <c r="E29" s="79"/>
      <c r="F29" s="79"/>
      <c r="G29" s="79"/>
      <c r="H29" s="79"/>
      <c r="I29" s="78"/>
      <c r="J29" s="78"/>
    </row>
    <row r="30" spans="1:10" x14ac:dyDescent="0.3">
      <c r="A30" s="76" t="str">
        <f t="shared" si="0"/>
        <v/>
      </c>
      <c r="B30" s="77"/>
      <c r="C30" s="78"/>
      <c r="D30" s="78"/>
      <c r="E30" s="79"/>
      <c r="F30" s="79"/>
      <c r="G30" s="79"/>
      <c r="H30" s="79"/>
      <c r="I30" s="78"/>
      <c r="J30" s="78"/>
    </row>
    <row r="31" spans="1:10" x14ac:dyDescent="0.3">
      <c r="A31" s="76" t="str">
        <f t="shared" si="0"/>
        <v/>
      </c>
      <c r="B31" s="77"/>
      <c r="C31" s="78"/>
      <c r="D31" s="78"/>
      <c r="E31" s="79"/>
      <c r="F31" s="79"/>
      <c r="G31" s="79"/>
      <c r="H31" s="79"/>
      <c r="I31" s="78"/>
      <c r="J31" s="78"/>
    </row>
    <row r="32" spans="1:10" x14ac:dyDescent="0.3">
      <c r="A32" s="76" t="str">
        <f t="shared" si="0"/>
        <v/>
      </c>
      <c r="B32" s="77"/>
      <c r="C32" s="78"/>
      <c r="D32" s="78"/>
      <c r="E32" s="79"/>
      <c r="F32" s="79"/>
      <c r="G32" s="79"/>
      <c r="H32" s="79"/>
      <c r="I32" s="78"/>
      <c r="J32" s="78"/>
    </row>
    <row r="33" spans="1:10" x14ac:dyDescent="0.3">
      <c r="A33" s="76" t="str">
        <f t="shared" si="0"/>
        <v/>
      </c>
      <c r="B33" s="77"/>
      <c r="C33" s="78"/>
      <c r="D33" s="78"/>
      <c r="E33" s="79"/>
      <c r="F33" s="79"/>
      <c r="G33" s="79"/>
      <c r="H33" s="79"/>
      <c r="I33" s="78"/>
      <c r="J33" s="78"/>
    </row>
    <row r="34" spans="1:10" x14ac:dyDescent="0.3">
      <c r="A34" s="76" t="str">
        <f t="shared" si="0"/>
        <v/>
      </c>
      <c r="B34" s="77"/>
      <c r="C34" s="78"/>
      <c r="D34" s="78"/>
      <c r="E34" s="79"/>
      <c r="F34" s="79"/>
      <c r="G34" s="79"/>
      <c r="H34" s="79"/>
      <c r="I34" s="78"/>
      <c r="J34" s="78"/>
    </row>
    <row r="35" spans="1:10" x14ac:dyDescent="0.3">
      <c r="A35" s="76" t="str">
        <f t="shared" si="0"/>
        <v/>
      </c>
      <c r="B35" s="77"/>
      <c r="C35" s="78"/>
      <c r="D35" s="78"/>
      <c r="E35" s="79"/>
      <c r="F35" s="79"/>
      <c r="G35" s="79"/>
      <c r="H35" s="79"/>
      <c r="I35" s="78"/>
      <c r="J35" s="78"/>
    </row>
    <row r="36" spans="1:10" x14ac:dyDescent="0.3">
      <c r="A36" s="76" t="str">
        <f t="shared" si="0"/>
        <v/>
      </c>
      <c r="B36" s="77"/>
      <c r="C36" s="78"/>
      <c r="D36" s="78"/>
      <c r="E36" s="79"/>
      <c r="F36" s="79"/>
      <c r="G36" s="79"/>
      <c r="H36" s="79"/>
      <c r="I36" s="78"/>
      <c r="J36" s="78"/>
    </row>
    <row r="37" spans="1:10" x14ac:dyDescent="0.3">
      <c r="A37" s="76" t="str">
        <f t="shared" si="0"/>
        <v/>
      </c>
      <c r="B37" s="77"/>
      <c r="C37" s="78"/>
      <c r="D37" s="78"/>
      <c r="E37" s="79"/>
      <c r="F37" s="79"/>
      <c r="G37" s="79"/>
      <c r="H37" s="79"/>
      <c r="I37" s="78"/>
      <c r="J37" s="78"/>
    </row>
    <row r="38" spans="1:10" x14ac:dyDescent="0.3">
      <c r="A38" s="76" t="str">
        <f t="shared" si="0"/>
        <v/>
      </c>
      <c r="B38" s="77"/>
      <c r="C38" s="78"/>
      <c r="D38" s="78"/>
      <c r="E38" s="79"/>
      <c r="F38" s="79"/>
      <c r="G38" s="79"/>
      <c r="H38" s="79"/>
      <c r="I38" s="78"/>
      <c r="J38" s="78"/>
    </row>
    <row r="39" spans="1:10" x14ac:dyDescent="0.3">
      <c r="A39" s="76" t="str">
        <f t="shared" si="0"/>
        <v/>
      </c>
      <c r="B39" s="77"/>
      <c r="C39" s="78"/>
      <c r="D39" s="78"/>
      <c r="E39" s="79"/>
      <c r="F39" s="79"/>
      <c r="G39" s="79"/>
      <c r="H39" s="79"/>
      <c r="I39" s="78"/>
      <c r="J39" s="78"/>
    </row>
    <row r="40" spans="1:10" x14ac:dyDescent="0.3">
      <c r="A40" s="76" t="str">
        <f t="shared" si="0"/>
        <v/>
      </c>
      <c r="B40" s="77"/>
      <c r="C40" s="78"/>
      <c r="D40" s="78"/>
      <c r="E40" s="79"/>
      <c r="F40" s="79"/>
      <c r="G40" s="79"/>
      <c r="H40" s="79"/>
      <c r="I40" s="78"/>
      <c r="J40" s="78"/>
    </row>
    <row r="41" spans="1:10" x14ac:dyDescent="0.3">
      <c r="A41" s="76" t="str">
        <f t="shared" si="0"/>
        <v/>
      </c>
      <c r="B41" s="77"/>
      <c r="C41" s="78"/>
      <c r="D41" s="78"/>
      <c r="E41" s="79"/>
      <c r="F41" s="79"/>
      <c r="G41" s="79"/>
      <c r="H41" s="79"/>
      <c r="I41" s="78"/>
      <c r="J41" s="78"/>
    </row>
    <row r="42" spans="1:10" x14ac:dyDescent="0.3">
      <c r="A42" s="76" t="str">
        <f t="shared" si="0"/>
        <v/>
      </c>
      <c r="B42" s="77"/>
      <c r="C42" s="78"/>
      <c r="D42" s="78"/>
      <c r="E42" s="79"/>
      <c r="F42" s="79"/>
      <c r="G42" s="79"/>
      <c r="H42" s="79"/>
      <c r="I42" s="78"/>
      <c r="J42" s="78"/>
    </row>
    <row r="43" spans="1:10" x14ac:dyDescent="0.3">
      <c r="A43" s="76" t="str">
        <f t="shared" si="0"/>
        <v/>
      </c>
      <c r="B43" s="77"/>
      <c r="C43" s="78"/>
      <c r="D43" s="78"/>
      <c r="E43" s="79"/>
      <c r="F43" s="79"/>
      <c r="G43" s="79"/>
      <c r="H43" s="79"/>
      <c r="I43" s="78"/>
      <c r="J43" s="78"/>
    </row>
    <row r="44" spans="1:10" x14ac:dyDescent="0.3">
      <c r="A44" s="76" t="str">
        <f t="shared" si="0"/>
        <v/>
      </c>
      <c r="B44" s="77"/>
      <c r="C44" s="78"/>
      <c r="D44" s="78"/>
      <c r="E44" s="79"/>
      <c r="F44" s="79"/>
      <c r="G44" s="79"/>
      <c r="H44" s="79"/>
      <c r="I44" s="78"/>
      <c r="J44" s="78"/>
    </row>
  </sheetData>
  <autoFilter ref="A4:J44" xr:uid="{00000000-0009-0000-0000-000007000000}"/>
  <conditionalFormatting sqref="J5:J44">
    <cfRule type="cellIs" dxfId="5" priority="1" operator="equal">
      <formula>"No"</formula>
    </cfRule>
  </conditionalFormatting>
  <pageMargins left="0.75" right="0.75" top="1" bottom="1" header="0.5" footer="0.5"/>
  <headerFooter>
    <oddHeader>&amp;R&amp;"Aptos"&amp;10&amp;K000000 Classification: Confidential&amp;1#_x000D_</oddHeader>
  </headerFooter>
  <extLst>
    <ext xmlns:x14="http://schemas.microsoft.com/office/spreadsheetml/2009/9/main" uri="{CCE6A557-97BC-4b89-ADB6-D9C93CAAB3DF}">
      <x14:dataValidations xmlns:xm="http://schemas.microsoft.com/office/excel/2006/main" count="2">
        <x14:dataValidation type="list" allowBlank="1" errorTitle="Not in list" error="Pick a value from the list." xr:uid="{00000000-0002-0000-0700-000000000000}">
          <x14:formula1>
            <xm:f>Lists!$L$5:$L$10</xm:f>
          </x14:formula1>
          <xm:sqref>C5:C44</xm:sqref>
        </x14:dataValidation>
        <x14:dataValidation type="list" allowBlank="1" errorTitle="Not in list" error="Pick a value from the list." xr:uid="{00000000-0002-0000-0700-000001000000}">
          <x14:formula1>
            <xm:f>Lists!$K$5:$K$6</xm:f>
          </x14:formula1>
          <xm:sqref>J5:J44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F39"/>
  <sheetViews>
    <sheetView workbookViewId="0"/>
  </sheetViews>
  <sheetFormatPr defaultRowHeight="14.4" x14ac:dyDescent="0.3"/>
  <cols>
    <col min="1" max="1" width="38" customWidth="1"/>
    <col min="2" max="2" width="26" customWidth="1"/>
    <col min="3" max="3" width="20" customWidth="1"/>
    <col min="5" max="5" width="24" customWidth="1"/>
    <col min="6" max="6" width="10" customWidth="1"/>
  </cols>
  <sheetData>
    <row r="1" spans="1:2" ht="17.399999999999999" x14ac:dyDescent="0.3">
      <c r="A1" s="1" t="s">
        <v>670</v>
      </c>
    </row>
    <row r="2" spans="1:2" x14ac:dyDescent="0.3">
      <c r="A2" s="2" t="s">
        <v>671</v>
      </c>
    </row>
    <row r="4" spans="1:2" x14ac:dyDescent="0.3">
      <c r="A4" s="10" t="s">
        <v>672</v>
      </c>
    </row>
    <row r="5" spans="1:2" x14ac:dyDescent="0.3">
      <c r="A5" s="11" t="s">
        <v>673</v>
      </c>
      <c r="B5" s="12">
        <f>COUNTA('AI Usage Log'!$B$5:$B$204)</f>
        <v>2</v>
      </c>
    </row>
    <row r="6" spans="1:2" x14ac:dyDescent="0.3">
      <c r="A6" s="11" t="s">
        <v>674</v>
      </c>
      <c r="B6" s="12">
        <f>COUNTIF('AI Usage Log'!$J$5:$J$204,"Accepted")</f>
        <v>0</v>
      </c>
    </row>
    <row r="7" spans="1:2" x14ac:dyDescent="0.3">
      <c r="A7" s="11" t="s">
        <v>604</v>
      </c>
      <c r="B7" s="12">
        <f>COUNTIF('AI Usage Log'!$J$5:$J$204,"Accepted with edits")</f>
        <v>1</v>
      </c>
    </row>
    <row r="8" spans="1:2" x14ac:dyDescent="0.3">
      <c r="A8" s="11" t="s">
        <v>612</v>
      </c>
      <c r="B8" s="12">
        <f>COUNTIF('AI Usage Log'!$J$5:$J$204,"Rejected")</f>
        <v>1</v>
      </c>
    </row>
    <row r="9" spans="1:2" x14ac:dyDescent="0.3">
      <c r="A9" s="11" t="s">
        <v>675</v>
      </c>
      <c r="B9" s="21">
        <f>IFERROR(($B7+$B8)/$B5,0)</f>
        <v>1</v>
      </c>
    </row>
    <row r="10" spans="1:2" x14ac:dyDescent="0.3">
      <c r="A10" s="11" t="s">
        <v>676</v>
      </c>
      <c r="B10" s="12">
        <f>COUNTIF('AI Usage Log'!$K$5:$K$204,"Yes")</f>
        <v>2</v>
      </c>
    </row>
    <row r="11" spans="1:2" x14ac:dyDescent="0.3">
      <c r="A11" s="11" t="s">
        <v>677</v>
      </c>
      <c r="B11" s="12">
        <v>8</v>
      </c>
    </row>
    <row r="12" spans="1:2" x14ac:dyDescent="0.3">
      <c r="A12" s="11" t="s">
        <v>678</v>
      </c>
      <c r="B12" s="12" t="str">
        <f>IF($B10&gt;=$B11,"YES","NOT YET - need "&amp;($B11-$B10)&amp;" more")</f>
        <v>NOT YET - need 6 more</v>
      </c>
    </row>
    <row r="13" spans="1:2" x14ac:dyDescent="0.3">
      <c r="A13" s="11" t="s">
        <v>679</v>
      </c>
      <c r="B13" s="12">
        <f>SUM('AI Usage Log'!$O$5:$O$204)</f>
        <v>1.5</v>
      </c>
    </row>
    <row r="14" spans="1:2" x14ac:dyDescent="0.3">
      <c r="A14" s="11" t="s">
        <v>680</v>
      </c>
      <c r="B14" s="12">
        <f>SUM('AI Usage Log'!$P$5:$P$204)</f>
        <v>1.5</v>
      </c>
    </row>
    <row r="15" spans="1:2" x14ac:dyDescent="0.3">
      <c r="A15" s="11" t="s">
        <v>681</v>
      </c>
      <c r="B15" s="12">
        <f>$B13-$B14</f>
        <v>0</v>
      </c>
    </row>
    <row r="17" spans="1:6" x14ac:dyDescent="0.3">
      <c r="A17" s="10" t="s">
        <v>682</v>
      </c>
      <c r="E17" s="10" t="s">
        <v>683</v>
      </c>
    </row>
    <row r="18" spans="1:6" ht="30" customHeight="1" x14ac:dyDescent="0.3">
      <c r="A18" s="28" t="s">
        <v>552</v>
      </c>
      <c r="B18" s="28" t="s">
        <v>684</v>
      </c>
      <c r="C18" s="28" t="s">
        <v>685</v>
      </c>
      <c r="E18" s="82" t="s">
        <v>594</v>
      </c>
      <c r="F18" s="82" t="s">
        <v>686</v>
      </c>
    </row>
    <row r="19" spans="1:6" x14ac:dyDescent="0.3">
      <c r="A19" s="83" t="s">
        <v>557</v>
      </c>
      <c r="B19" s="83">
        <f>COUNTIF('AI Usage Log'!$G$5:$G$204,$A19)</f>
        <v>0</v>
      </c>
      <c r="C19" s="83">
        <f>COUNTIFS('AI Usage Log'!$G$5:$G$204,$A19,'AI Usage Log'!$J$5:$J$204,"Rejected")+COUNTIFS('AI Usage Log'!$G$5:$G$204,$A19,'AI Usage Log'!$J$5:$J$204,"Accepted with edits")</f>
        <v>0</v>
      </c>
      <c r="E19" s="83" t="s">
        <v>687</v>
      </c>
      <c r="F19" s="83">
        <f>COUNTIF('AI Usage Log'!$L$5:$L$204,$E19)</f>
        <v>0</v>
      </c>
    </row>
    <row r="20" spans="1:6" x14ac:dyDescent="0.3">
      <c r="A20" s="83" t="s">
        <v>560</v>
      </c>
      <c r="B20" s="83">
        <f>COUNTIF('AI Usage Log'!$G$5:$G$204,$A20)</f>
        <v>0</v>
      </c>
      <c r="C20" s="83">
        <f>COUNTIFS('AI Usage Log'!$G$5:$G$204,$A20,'AI Usage Log'!$J$5:$J$204,"Rejected")+COUNTIFS('AI Usage Log'!$G$5:$G$204,$A20,'AI Usage Log'!$J$5:$J$204,"Accepted with edits")</f>
        <v>0</v>
      </c>
      <c r="E20" s="83" t="s">
        <v>688</v>
      </c>
      <c r="F20" s="83">
        <f>COUNTIF('AI Usage Log'!$L$5:$L$204,$E20)</f>
        <v>0</v>
      </c>
    </row>
    <row r="21" spans="1:6" x14ac:dyDescent="0.3">
      <c r="A21" s="83" t="s">
        <v>562</v>
      </c>
      <c r="B21" s="83">
        <f>COUNTIF('AI Usage Log'!$G$5:$G$204,$A21)</f>
        <v>1</v>
      </c>
      <c r="C21" s="83">
        <f>COUNTIFS('AI Usage Log'!$G$5:$G$204,$A21,'AI Usage Log'!$J$5:$J$204,"Rejected")+COUNTIFS('AI Usage Log'!$G$5:$G$204,$A21,'AI Usage Log'!$J$5:$J$204,"Accepted with edits")</f>
        <v>1</v>
      </c>
      <c r="E21" s="83" t="s">
        <v>606</v>
      </c>
      <c r="F21" s="83">
        <f>COUNTIF('AI Usage Log'!$L$5:$L$204,$E21)</f>
        <v>1</v>
      </c>
    </row>
    <row r="22" spans="1:6" x14ac:dyDescent="0.3">
      <c r="A22" s="83" t="s">
        <v>565</v>
      </c>
      <c r="B22" s="83">
        <f>COUNTIF('AI Usage Log'!$G$5:$G$204,$A22)</f>
        <v>0</v>
      </c>
      <c r="C22" s="83">
        <f>COUNTIFS('AI Usage Log'!$G$5:$G$204,$A22,'AI Usage Log'!$J$5:$J$204,"Rejected")+COUNTIFS('AI Usage Log'!$G$5:$G$204,$A22,'AI Usage Log'!$J$5:$J$204,"Accepted with edits")</f>
        <v>0</v>
      </c>
      <c r="E22" s="83" t="s">
        <v>689</v>
      </c>
      <c r="F22" s="83">
        <f>COUNTIF('AI Usage Log'!$L$5:$L$204,$E22)</f>
        <v>0</v>
      </c>
    </row>
    <row r="23" spans="1:6" x14ac:dyDescent="0.3">
      <c r="A23" s="83" t="s">
        <v>567</v>
      </c>
      <c r="B23" s="83">
        <f>COUNTIF('AI Usage Log'!$G$5:$G$204,$A23)</f>
        <v>0</v>
      </c>
      <c r="C23" s="83">
        <f>COUNTIFS('AI Usage Log'!$G$5:$G$204,$A23,'AI Usage Log'!$J$5:$J$204,"Rejected")+COUNTIFS('AI Usage Log'!$G$5:$G$204,$A23,'AI Usage Log'!$J$5:$J$204,"Accepted with edits")</f>
        <v>0</v>
      </c>
      <c r="E23" s="83" t="s">
        <v>690</v>
      </c>
      <c r="F23" s="83">
        <f>COUNTIF('AI Usage Log'!$L$5:$L$204,$E23)</f>
        <v>0</v>
      </c>
    </row>
    <row r="24" spans="1:6" x14ac:dyDescent="0.3">
      <c r="A24" s="83" t="s">
        <v>569</v>
      </c>
      <c r="B24" s="83">
        <f>COUNTIF('AI Usage Log'!$G$5:$G$204,$A24)</f>
        <v>1</v>
      </c>
      <c r="C24" s="83">
        <f>COUNTIFS('AI Usage Log'!$G$5:$G$204,$A24,'AI Usage Log'!$J$5:$J$204,"Rejected")+COUNTIFS('AI Usage Log'!$G$5:$G$204,$A24,'AI Usage Log'!$J$5:$J$204,"Accepted with edits")</f>
        <v>1</v>
      </c>
      <c r="E24" s="83" t="s">
        <v>691</v>
      </c>
      <c r="F24" s="83">
        <f>COUNTIF('AI Usage Log'!$L$5:$L$204,$E24)</f>
        <v>0</v>
      </c>
    </row>
    <row r="25" spans="1:6" x14ac:dyDescent="0.3">
      <c r="A25" s="83" t="s">
        <v>571</v>
      </c>
      <c r="B25" s="83">
        <f>COUNTIF('AI Usage Log'!$G$5:$G$204,$A25)</f>
        <v>0</v>
      </c>
      <c r="C25" s="83">
        <f>COUNTIFS('AI Usage Log'!$G$5:$G$204,$A25,'AI Usage Log'!$J$5:$J$204,"Rejected")+COUNTIFS('AI Usage Log'!$G$5:$G$204,$A25,'AI Usage Log'!$J$5:$J$204,"Accepted with edits")</f>
        <v>0</v>
      </c>
      <c r="E25" s="83" t="s">
        <v>692</v>
      </c>
      <c r="F25" s="83">
        <f>COUNTIF('AI Usage Log'!$L$5:$L$204,$E25)</f>
        <v>0</v>
      </c>
    </row>
    <row r="26" spans="1:6" x14ac:dyDescent="0.3">
      <c r="A26" s="83" t="s">
        <v>573</v>
      </c>
      <c r="B26" s="83">
        <f>COUNTIF('AI Usage Log'!$G$5:$G$204,$A26)</f>
        <v>0</v>
      </c>
      <c r="C26" s="83">
        <f>COUNTIFS('AI Usage Log'!$G$5:$G$204,$A26,'AI Usage Log'!$J$5:$J$204,"Rejected")+COUNTIFS('AI Usage Log'!$G$5:$G$204,$A26,'AI Usage Log'!$J$5:$J$204,"Accepted with edits")</f>
        <v>0</v>
      </c>
      <c r="E26" s="83" t="s">
        <v>613</v>
      </c>
      <c r="F26" s="83">
        <f>COUNTIF('AI Usage Log'!$L$5:$L$204,$E26)</f>
        <v>1</v>
      </c>
    </row>
    <row r="27" spans="1:6" x14ac:dyDescent="0.3">
      <c r="A27" s="83" t="s">
        <v>575</v>
      </c>
      <c r="B27" s="83">
        <f>COUNTIF('AI Usage Log'!$G$5:$G$204,$A27)</f>
        <v>0</v>
      </c>
      <c r="C27" s="83">
        <f>COUNTIFS('AI Usage Log'!$G$5:$G$204,$A27,'AI Usage Log'!$J$5:$J$204,"Rejected")+COUNTIFS('AI Usage Log'!$G$5:$G$204,$A27,'AI Usage Log'!$J$5:$J$204,"Accepted with edits")</f>
        <v>0</v>
      </c>
      <c r="E27" s="83" t="s">
        <v>693</v>
      </c>
      <c r="F27" s="83">
        <f>COUNTIF('AI Usage Log'!$L$5:$L$204,$E27)</f>
        <v>0</v>
      </c>
    </row>
    <row r="28" spans="1:6" x14ac:dyDescent="0.3">
      <c r="A28" s="83" t="s">
        <v>577</v>
      </c>
      <c r="B28" s="83">
        <f>COUNTIF('AI Usage Log'!$G$5:$G$204,$A28)</f>
        <v>0</v>
      </c>
      <c r="C28" s="83">
        <f>COUNTIFS('AI Usage Log'!$G$5:$G$204,$A28,'AI Usage Log'!$J$5:$J$204,"Rejected")+COUNTIFS('AI Usage Log'!$G$5:$G$204,$A28,'AI Usage Log'!$J$5:$J$204,"Accepted with edits")</f>
        <v>0</v>
      </c>
    </row>
    <row r="32" spans="1:6" x14ac:dyDescent="0.3">
      <c r="A32" s="10" t="s">
        <v>694</v>
      </c>
    </row>
    <row r="33" spans="1:6" ht="27" x14ac:dyDescent="0.3">
      <c r="A33" s="22" t="s">
        <v>589</v>
      </c>
      <c r="B33" s="22" t="s">
        <v>684</v>
      </c>
      <c r="C33" s="22" t="s">
        <v>685</v>
      </c>
      <c r="D33" s="22" t="s">
        <v>70</v>
      </c>
      <c r="E33" s="22" t="s">
        <v>695</v>
      </c>
      <c r="F33" s="22" t="s">
        <v>599</v>
      </c>
    </row>
    <row r="34" spans="1:6" x14ac:dyDescent="0.3">
      <c r="A34" s="83" t="s">
        <v>521</v>
      </c>
      <c r="B34" s="83">
        <f>COUNTIF('AI Usage Log'!$F$5:$F$204,$A34)</f>
        <v>0</v>
      </c>
      <c r="C34" s="83">
        <f>COUNTIFS('AI Usage Log'!$F$5:$F$204,$A34,'AI Usage Log'!$J$5:$J$204,"Rejected")+COUNTIFS('AI Usage Log'!$F$5:$F$204,$A34,'AI Usage Log'!$J$5:$J$204,"Accepted with edits")</f>
        <v>0</v>
      </c>
      <c r="D34" s="84">
        <f t="shared" ref="D34:D39" si="0">IFERROR($C34/$B34,0)</f>
        <v>0</v>
      </c>
      <c r="E34" s="83">
        <f>COUNTIFS('AI Usage Log'!$F$5:$F$204,$A34,'AI Usage Log'!$K$5:$K$204,"Yes")</f>
        <v>0</v>
      </c>
      <c r="F34" s="83">
        <f>SUMIFS('AI Usage Log'!$Q$5:$Q$204,'AI Usage Log'!$F$5:$F$204,$A34)</f>
        <v>0</v>
      </c>
    </row>
    <row r="35" spans="1:6" x14ac:dyDescent="0.3">
      <c r="A35" s="83" t="s">
        <v>527</v>
      </c>
      <c r="B35" s="83">
        <f>COUNTIF('AI Usage Log'!$F$5:$F$204,$A35)</f>
        <v>0</v>
      </c>
      <c r="C35" s="83">
        <f>COUNTIFS('AI Usage Log'!$F$5:$F$204,$A35,'AI Usage Log'!$J$5:$J$204,"Rejected")+COUNTIFS('AI Usage Log'!$F$5:$F$204,$A35,'AI Usage Log'!$J$5:$J$204,"Accepted with edits")</f>
        <v>0</v>
      </c>
      <c r="D35" s="84">
        <f t="shared" si="0"/>
        <v>0</v>
      </c>
      <c r="E35" s="83">
        <f>COUNTIFS('AI Usage Log'!$F$5:$F$204,$A35,'AI Usage Log'!$K$5:$K$204,"Yes")</f>
        <v>0</v>
      </c>
      <c r="F35" s="83">
        <f>SUMIFS('AI Usage Log'!$Q$5:$Q$204,'AI Usage Log'!$F$5:$F$204,$A35)</f>
        <v>0</v>
      </c>
    </row>
    <row r="36" spans="1:6" x14ac:dyDescent="0.3">
      <c r="A36" s="83" t="s">
        <v>533</v>
      </c>
      <c r="B36" s="83">
        <f>COUNTIF('AI Usage Log'!$F$5:$F$204,$A36)</f>
        <v>2</v>
      </c>
      <c r="C36" s="83">
        <f>COUNTIFS('AI Usage Log'!$F$5:$F$204,$A36,'AI Usage Log'!$J$5:$J$204,"Rejected")+COUNTIFS('AI Usage Log'!$F$5:$F$204,$A36,'AI Usage Log'!$J$5:$J$204,"Accepted with edits")</f>
        <v>2</v>
      </c>
      <c r="D36" s="84">
        <f t="shared" si="0"/>
        <v>1</v>
      </c>
      <c r="E36" s="83">
        <f>COUNTIFS('AI Usage Log'!$F$5:$F$204,$A36,'AI Usage Log'!$K$5:$K$204,"Yes")</f>
        <v>2</v>
      </c>
      <c r="F36" s="83">
        <f>SUMIFS('AI Usage Log'!$Q$5:$Q$204,'AI Usage Log'!$F$5:$F$204,$A36)</f>
        <v>0</v>
      </c>
    </row>
    <row r="37" spans="1:6" x14ac:dyDescent="0.3">
      <c r="A37" s="83" t="s">
        <v>539</v>
      </c>
      <c r="B37" s="83">
        <f>COUNTIF('AI Usage Log'!$F$5:$F$204,$A37)</f>
        <v>0</v>
      </c>
      <c r="C37" s="83">
        <f>COUNTIFS('AI Usage Log'!$F$5:$F$204,$A37,'AI Usage Log'!$J$5:$J$204,"Rejected")+COUNTIFS('AI Usage Log'!$F$5:$F$204,$A37,'AI Usage Log'!$J$5:$J$204,"Accepted with edits")</f>
        <v>0</v>
      </c>
      <c r="D37" s="84">
        <f t="shared" si="0"/>
        <v>0</v>
      </c>
      <c r="E37" s="83">
        <f>COUNTIFS('AI Usage Log'!$F$5:$F$204,$A37,'AI Usage Log'!$K$5:$K$204,"Yes")</f>
        <v>0</v>
      </c>
      <c r="F37" s="83">
        <f>SUMIFS('AI Usage Log'!$Q$5:$Q$204,'AI Usage Log'!$F$5:$F$204,$A37)</f>
        <v>0</v>
      </c>
    </row>
    <row r="38" spans="1:6" x14ac:dyDescent="0.3">
      <c r="A38" s="83" t="s">
        <v>545</v>
      </c>
      <c r="B38" s="83">
        <f>COUNTIF('AI Usage Log'!$F$5:$F$204,$A38)</f>
        <v>0</v>
      </c>
      <c r="C38" s="83">
        <f>COUNTIFS('AI Usage Log'!$F$5:$F$204,$A38,'AI Usage Log'!$J$5:$J$204,"Rejected")+COUNTIFS('AI Usage Log'!$F$5:$F$204,$A38,'AI Usage Log'!$J$5:$J$204,"Accepted with edits")</f>
        <v>0</v>
      </c>
      <c r="D38" s="84">
        <f t="shared" si="0"/>
        <v>0</v>
      </c>
      <c r="E38" s="83">
        <f>COUNTIFS('AI Usage Log'!$F$5:$F$204,$A38,'AI Usage Log'!$K$5:$K$204,"Yes")</f>
        <v>0</v>
      </c>
      <c r="F38" s="83">
        <f>SUMIFS('AI Usage Log'!$Q$5:$Q$204,'AI Usage Log'!$F$5:$F$204,$A38)</f>
        <v>0</v>
      </c>
    </row>
    <row r="39" spans="1:6" x14ac:dyDescent="0.3">
      <c r="A39" s="83" t="s">
        <v>696</v>
      </c>
      <c r="B39" s="83">
        <f>COUNTIF('AI Usage Log'!$F$5:$F$204,$A39)</f>
        <v>0</v>
      </c>
      <c r="C39" s="83">
        <f>COUNTIFS('AI Usage Log'!$F$5:$F$204,$A39,'AI Usage Log'!$J$5:$J$204,"Rejected")+COUNTIFS('AI Usage Log'!$F$5:$F$204,$A39,'AI Usage Log'!$J$5:$J$204,"Accepted with edits")</f>
        <v>0</v>
      </c>
      <c r="D39" s="84">
        <f t="shared" si="0"/>
        <v>0</v>
      </c>
      <c r="E39" s="83">
        <f>COUNTIFS('AI Usage Log'!$F$5:$F$204,$A39,'AI Usage Log'!$K$5:$K$204,"Yes")</f>
        <v>0</v>
      </c>
      <c r="F39" s="83">
        <f>SUMIFS('AI Usage Log'!$Q$5:$Q$204,'AI Usage Log'!$F$5:$F$204,$A39)</f>
        <v>0</v>
      </c>
    </row>
  </sheetData>
  <pageMargins left="0.75" right="0.75" top="1" bottom="1" header="0.5" footer="0.5"/>
  <headerFooter>
    <oddHeader>&amp;R&amp;"Aptos"&amp;10&amp;K000000 Classification: Confidential&amp;1#_x000D_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F8F00"/>
  </sheetPr>
  <dimension ref="A1:I34"/>
  <sheetViews>
    <sheetView workbookViewId="0">
      <pane xSplit="2" ySplit="4" topLeftCell="C5" activePane="bottomRight" state="frozen"/>
      <selection pane="topRight"/>
      <selection pane="bottomLeft"/>
      <selection pane="bottomRight"/>
    </sheetView>
  </sheetViews>
  <sheetFormatPr defaultRowHeight="14.4" x14ac:dyDescent="0.3"/>
  <cols>
    <col min="1" max="1" width="7" customWidth="1"/>
    <col min="2" max="2" width="34" customWidth="1"/>
    <col min="3" max="3" width="11" customWidth="1"/>
    <col min="4" max="4" width="44" customWidth="1"/>
    <col min="5" max="5" width="58" customWidth="1"/>
    <col min="6" max="6" width="32" customWidth="1"/>
    <col min="7" max="7" width="48" customWidth="1"/>
    <col min="8" max="8" width="34" customWidth="1"/>
    <col min="9" max="9" width="11" customWidth="1"/>
  </cols>
  <sheetData>
    <row r="1" spans="1:9" ht="17.399999999999999" x14ac:dyDescent="0.3">
      <c r="A1" s="1" t="s">
        <v>697</v>
      </c>
    </row>
    <row r="2" spans="1:9" x14ac:dyDescent="0.3">
      <c r="A2" s="2" t="s">
        <v>698</v>
      </c>
    </row>
    <row r="4" spans="1:9" ht="30" customHeight="1" x14ac:dyDescent="0.3">
      <c r="A4" s="28" t="s">
        <v>699</v>
      </c>
      <c r="B4" s="28" t="s">
        <v>700</v>
      </c>
      <c r="C4" s="28" t="s">
        <v>63</v>
      </c>
      <c r="D4" s="28" t="s">
        <v>701</v>
      </c>
      <c r="E4" s="28" t="s">
        <v>702</v>
      </c>
      <c r="F4" s="28" t="s">
        <v>703</v>
      </c>
      <c r="G4" s="28" t="s">
        <v>704</v>
      </c>
      <c r="H4" s="28" t="s">
        <v>705</v>
      </c>
      <c r="I4" s="28" t="s">
        <v>61</v>
      </c>
    </row>
    <row r="5" spans="1:9" ht="78" customHeight="1" x14ac:dyDescent="0.3">
      <c r="A5" s="85" t="s">
        <v>706</v>
      </c>
      <c r="B5" s="86" t="s">
        <v>707</v>
      </c>
      <c r="C5" s="78" t="s">
        <v>708</v>
      </c>
      <c r="D5" s="86" t="s">
        <v>709</v>
      </c>
      <c r="E5" s="86" t="s">
        <v>710</v>
      </c>
      <c r="F5" s="86" t="s">
        <v>711</v>
      </c>
      <c r="G5" s="86" t="s">
        <v>712</v>
      </c>
      <c r="H5" s="79"/>
      <c r="I5" s="77"/>
    </row>
    <row r="6" spans="1:9" ht="78" customHeight="1" x14ac:dyDescent="0.3">
      <c r="A6" s="85" t="s">
        <v>713</v>
      </c>
      <c r="B6" s="86" t="s">
        <v>714</v>
      </c>
      <c r="C6" s="78" t="s">
        <v>708</v>
      </c>
      <c r="D6" s="86" t="s">
        <v>715</v>
      </c>
      <c r="E6" s="86" t="s">
        <v>716</v>
      </c>
      <c r="F6" s="86" t="s">
        <v>717</v>
      </c>
      <c r="G6" s="86" t="s">
        <v>718</v>
      </c>
      <c r="H6" s="79"/>
      <c r="I6" s="77"/>
    </row>
    <row r="7" spans="1:9" ht="78" customHeight="1" x14ac:dyDescent="0.3">
      <c r="A7" s="85" t="s">
        <v>719</v>
      </c>
      <c r="B7" s="86" t="s">
        <v>720</v>
      </c>
      <c r="C7" s="78" t="s">
        <v>708</v>
      </c>
      <c r="D7" s="86" t="s">
        <v>721</v>
      </c>
      <c r="E7" s="86" t="s">
        <v>722</v>
      </c>
      <c r="F7" s="86" t="s">
        <v>723</v>
      </c>
      <c r="G7" s="86" t="s">
        <v>724</v>
      </c>
      <c r="H7" s="79"/>
      <c r="I7" s="77"/>
    </row>
    <row r="8" spans="1:9" ht="78" customHeight="1" x14ac:dyDescent="0.3">
      <c r="A8" s="85" t="s">
        <v>725</v>
      </c>
      <c r="B8" s="86" t="s">
        <v>726</v>
      </c>
      <c r="C8" s="78" t="s">
        <v>708</v>
      </c>
      <c r="D8" s="86" t="s">
        <v>727</v>
      </c>
      <c r="E8" s="86" t="s">
        <v>728</v>
      </c>
      <c r="F8" s="86" t="s">
        <v>729</v>
      </c>
      <c r="G8" s="86" t="s">
        <v>730</v>
      </c>
      <c r="H8" s="79"/>
      <c r="I8" s="77"/>
    </row>
    <row r="9" spans="1:9" ht="78" customHeight="1" x14ac:dyDescent="0.3">
      <c r="A9" s="85" t="s">
        <v>731</v>
      </c>
      <c r="B9" s="86" t="s">
        <v>732</v>
      </c>
      <c r="C9" s="78" t="s">
        <v>708</v>
      </c>
      <c r="D9" s="86" t="s">
        <v>733</v>
      </c>
      <c r="E9" s="86" t="s">
        <v>734</v>
      </c>
      <c r="F9" s="86" t="s">
        <v>735</v>
      </c>
      <c r="G9" s="86" t="s">
        <v>736</v>
      </c>
      <c r="H9" s="79"/>
      <c r="I9" s="77"/>
    </row>
    <row r="10" spans="1:9" ht="78" customHeight="1" x14ac:dyDescent="0.3">
      <c r="A10" s="85" t="s">
        <v>737</v>
      </c>
      <c r="B10" s="86" t="s">
        <v>738</v>
      </c>
      <c r="C10" s="78" t="s">
        <v>708</v>
      </c>
      <c r="D10" s="86" t="s">
        <v>739</v>
      </c>
      <c r="E10" s="86" t="s">
        <v>740</v>
      </c>
      <c r="F10" s="86" t="s">
        <v>741</v>
      </c>
      <c r="G10" s="86" t="s">
        <v>742</v>
      </c>
      <c r="H10" s="79"/>
      <c r="I10" s="77"/>
    </row>
    <row r="11" spans="1:9" ht="78" customHeight="1" x14ac:dyDescent="0.3">
      <c r="A11" s="85" t="s">
        <v>743</v>
      </c>
      <c r="B11" s="86" t="s">
        <v>744</v>
      </c>
      <c r="C11" s="78" t="s">
        <v>708</v>
      </c>
      <c r="D11" s="86" t="s">
        <v>745</v>
      </c>
      <c r="E11" s="86" t="s">
        <v>746</v>
      </c>
      <c r="F11" s="86" t="s">
        <v>747</v>
      </c>
      <c r="G11" s="86" t="s">
        <v>748</v>
      </c>
      <c r="H11" s="79"/>
      <c r="I11" s="77"/>
    </row>
    <row r="12" spans="1:9" ht="78" customHeight="1" x14ac:dyDescent="0.3">
      <c r="A12" s="85" t="s">
        <v>749</v>
      </c>
      <c r="B12" s="86" t="s">
        <v>750</v>
      </c>
      <c r="C12" s="78" t="s">
        <v>708</v>
      </c>
      <c r="D12" s="86" t="s">
        <v>751</v>
      </c>
      <c r="E12" s="86" t="s">
        <v>752</v>
      </c>
      <c r="F12" s="86" t="s">
        <v>753</v>
      </c>
      <c r="G12" s="86" t="s">
        <v>754</v>
      </c>
      <c r="H12" s="79"/>
      <c r="I12" s="77"/>
    </row>
    <row r="13" spans="1:9" ht="78" customHeight="1" x14ac:dyDescent="0.3">
      <c r="A13" s="85" t="s">
        <v>755</v>
      </c>
      <c r="B13" s="86" t="s">
        <v>756</v>
      </c>
      <c r="C13" s="78" t="s">
        <v>708</v>
      </c>
      <c r="D13" s="86" t="s">
        <v>757</v>
      </c>
      <c r="E13" s="86" t="s">
        <v>758</v>
      </c>
      <c r="F13" s="86" t="s">
        <v>759</v>
      </c>
      <c r="G13" s="86" t="s">
        <v>760</v>
      </c>
      <c r="H13" s="79"/>
      <c r="I13" s="77"/>
    </row>
    <row r="14" spans="1:9" ht="78" customHeight="1" x14ac:dyDescent="0.3">
      <c r="A14" s="85" t="s">
        <v>761</v>
      </c>
      <c r="B14" s="86" t="s">
        <v>762</v>
      </c>
      <c r="C14" s="78" t="s">
        <v>708</v>
      </c>
      <c r="D14" s="86" t="s">
        <v>763</v>
      </c>
      <c r="E14" s="86" t="s">
        <v>764</v>
      </c>
      <c r="F14" s="86" t="s">
        <v>765</v>
      </c>
      <c r="G14" s="86" t="s">
        <v>766</v>
      </c>
      <c r="H14" s="79"/>
      <c r="I14" s="77"/>
    </row>
    <row r="15" spans="1:9" ht="78" customHeight="1" x14ac:dyDescent="0.3">
      <c r="A15" s="85" t="s">
        <v>767</v>
      </c>
      <c r="B15" s="86" t="s">
        <v>768</v>
      </c>
      <c r="C15" s="78" t="s">
        <v>708</v>
      </c>
      <c r="D15" s="86" t="s">
        <v>769</v>
      </c>
      <c r="E15" s="86" t="s">
        <v>770</v>
      </c>
      <c r="F15" s="86" t="s">
        <v>771</v>
      </c>
      <c r="G15" s="86" t="s">
        <v>772</v>
      </c>
      <c r="H15" s="79"/>
      <c r="I15" s="77"/>
    </row>
    <row r="16" spans="1:9" ht="78" customHeight="1" x14ac:dyDescent="0.3">
      <c r="A16" s="85" t="s">
        <v>773</v>
      </c>
      <c r="B16" s="86" t="s">
        <v>774</v>
      </c>
      <c r="C16" s="78" t="s">
        <v>708</v>
      </c>
      <c r="D16" s="86" t="s">
        <v>775</v>
      </c>
      <c r="E16" s="86" t="s">
        <v>776</v>
      </c>
      <c r="F16" s="86" t="s">
        <v>777</v>
      </c>
      <c r="G16" s="86" t="s">
        <v>778</v>
      </c>
      <c r="H16" s="79"/>
      <c r="I16" s="77"/>
    </row>
    <row r="17" spans="1:9" ht="78" customHeight="1" x14ac:dyDescent="0.3">
      <c r="A17" s="85" t="s">
        <v>779</v>
      </c>
      <c r="B17" s="86" t="s">
        <v>780</v>
      </c>
      <c r="C17" s="78" t="s">
        <v>708</v>
      </c>
      <c r="D17" s="86" t="s">
        <v>781</v>
      </c>
      <c r="E17" s="86" t="s">
        <v>782</v>
      </c>
      <c r="F17" s="86" t="s">
        <v>783</v>
      </c>
      <c r="G17" s="86" t="s">
        <v>784</v>
      </c>
      <c r="H17" s="79"/>
      <c r="I17" s="77"/>
    </row>
    <row r="18" spans="1:9" ht="78" customHeight="1" x14ac:dyDescent="0.3">
      <c r="A18" s="85" t="s">
        <v>785</v>
      </c>
      <c r="B18" s="86" t="s">
        <v>786</v>
      </c>
      <c r="C18" s="78" t="s">
        <v>708</v>
      </c>
      <c r="D18" s="86" t="s">
        <v>787</v>
      </c>
      <c r="E18" s="86" t="s">
        <v>788</v>
      </c>
      <c r="F18" s="86" t="s">
        <v>789</v>
      </c>
      <c r="G18" s="86" t="s">
        <v>790</v>
      </c>
      <c r="H18" s="79"/>
      <c r="I18" s="77"/>
    </row>
    <row r="19" spans="1:9" ht="78" customHeight="1" x14ac:dyDescent="0.3">
      <c r="A19" s="85" t="s">
        <v>791</v>
      </c>
      <c r="B19" s="86" t="s">
        <v>792</v>
      </c>
      <c r="C19" s="78" t="s">
        <v>708</v>
      </c>
      <c r="D19" s="86" t="s">
        <v>793</v>
      </c>
      <c r="E19" s="86" t="s">
        <v>794</v>
      </c>
      <c r="F19" s="86" t="s">
        <v>795</v>
      </c>
      <c r="G19" s="86" t="s">
        <v>796</v>
      </c>
      <c r="H19" s="79"/>
      <c r="I19" s="77"/>
    </row>
    <row r="20" spans="1:9" x14ac:dyDescent="0.3">
      <c r="A20" s="78"/>
      <c r="B20" s="79"/>
      <c r="C20" s="78"/>
      <c r="D20" s="79"/>
      <c r="E20" s="79"/>
      <c r="F20" s="79"/>
      <c r="G20" s="79"/>
      <c r="H20" s="79"/>
      <c r="I20" s="77"/>
    </row>
    <row r="21" spans="1:9" x14ac:dyDescent="0.3">
      <c r="A21" s="78"/>
      <c r="B21" s="79"/>
      <c r="C21" s="78"/>
      <c r="D21" s="79"/>
      <c r="E21" s="79"/>
      <c r="F21" s="79"/>
      <c r="G21" s="79"/>
      <c r="H21" s="79"/>
      <c r="I21" s="77"/>
    </row>
    <row r="22" spans="1:9" x14ac:dyDescent="0.3">
      <c r="A22" s="78"/>
      <c r="B22" s="79"/>
      <c r="C22" s="78"/>
      <c r="D22" s="79"/>
      <c r="E22" s="79"/>
      <c r="F22" s="79"/>
      <c r="G22" s="79"/>
      <c r="H22" s="79"/>
      <c r="I22" s="77"/>
    </row>
    <row r="23" spans="1:9" x14ac:dyDescent="0.3">
      <c r="A23" s="78"/>
      <c r="B23" s="79"/>
      <c r="C23" s="78"/>
      <c r="D23" s="79"/>
      <c r="E23" s="79"/>
      <c r="F23" s="79"/>
      <c r="G23" s="79"/>
      <c r="H23" s="79"/>
      <c r="I23" s="77"/>
    </row>
    <row r="24" spans="1:9" x14ac:dyDescent="0.3">
      <c r="A24" s="78"/>
      <c r="B24" s="79"/>
      <c r="C24" s="78"/>
      <c r="D24" s="79"/>
      <c r="E24" s="79"/>
      <c r="F24" s="79"/>
      <c r="G24" s="79"/>
      <c r="H24" s="79"/>
      <c r="I24" s="77"/>
    </row>
    <row r="25" spans="1:9" x14ac:dyDescent="0.3">
      <c r="A25" s="78"/>
      <c r="B25" s="79"/>
      <c r="C25" s="78"/>
      <c r="D25" s="79"/>
      <c r="E25" s="79"/>
      <c r="F25" s="79"/>
      <c r="G25" s="79"/>
      <c r="H25" s="79"/>
      <c r="I25" s="77"/>
    </row>
    <row r="26" spans="1:9" x14ac:dyDescent="0.3">
      <c r="A26" s="78"/>
      <c r="B26" s="79"/>
      <c r="C26" s="78"/>
      <c r="D26" s="79"/>
      <c r="E26" s="79"/>
      <c r="F26" s="79"/>
      <c r="G26" s="79"/>
      <c r="H26" s="79"/>
      <c r="I26" s="77"/>
    </row>
    <row r="27" spans="1:9" x14ac:dyDescent="0.3">
      <c r="A27" s="78"/>
      <c r="B27" s="79"/>
      <c r="C27" s="78"/>
      <c r="D27" s="79"/>
      <c r="E27" s="79"/>
      <c r="F27" s="79"/>
      <c r="G27" s="79"/>
      <c r="H27" s="79"/>
      <c r="I27" s="77"/>
    </row>
    <row r="28" spans="1:9" x14ac:dyDescent="0.3">
      <c r="A28" s="78"/>
      <c r="B28" s="79"/>
      <c r="C28" s="78"/>
      <c r="D28" s="79"/>
      <c r="E28" s="79"/>
      <c r="F28" s="79"/>
      <c r="G28" s="79"/>
      <c r="H28" s="79"/>
      <c r="I28" s="77"/>
    </row>
    <row r="29" spans="1:9" x14ac:dyDescent="0.3">
      <c r="A29" s="78"/>
      <c r="B29" s="79"/>
      <c r="C29" s="78"/>
      <c r="D29" s="79"/>
      <c r="E29" s="79"/>
      <c r="F29" s="79"/>
      <c r="G29" s="79"/>
      <c r="H29" s="79"/>
      <c r="I29" s="77"/>
    </row>
    <row r="30" spans="1:9" x14ac:dyDescent="0.3">
      <c r="A30" s="78"/>
      <c r="B30" s="79"/>
      <c r="C30" s="78"/>
      <c r="D30" s="79"/>
      <c r="E30" s="79"/>
      <c r="F30" s="79"/>
      <c r="G30" s="79"/>
      <c r="H30" s="79"/>
      <c r="I30" s="77"/>
    </row>
    <row r="31" spans="1:9" x14ac:dyDescent="0.3">
      <c r="A31" s="78"/>
      <c r="B31" s="79"/>
      <c r="C31" s="78"/>
      <c r="D31" s="79"/>
      <c r="E31" s="79"/>
      <c r="F31" s="79"/>
      <c r="G31" s="79"/>
      <c r="H31" s="79"/>
      <c r="I31" s="77"/>
    </row>
    <row r="32" spans="1:9" x14ac:dyDescent="0.3">
      <c r="A32" s="78"/>
      <c r="B32" s="79"/>
      <c r="C32" s="78"/>
      <c r="D32" s="79"/>
      <c r="E32" s="79"/>
      <c r="F32" s="79"/>
      <c r="G32" s="79"/>
      <c r="H32" s="79"/>
      <c r="I32" s="77"/>
    </row>
    <row r="33" spans="1:9" x14ac:dyDescent="0.3">
      <c r="A33" s="78"/>
      <c r="B33" s="79"/>
      <c r="C33" s="78"/>
      <c r="D33" s="79"/>
      <c r="E33" s="79"/>
      <c r="F33" s="79"/>
      <c r="G33" s="79"/>
      <c r="H33" s="79"/>
      <c r="I33" s="77"/>
    </row>
    <row r="34" spans="1:9" x14ac:dyDescent="0.3">
      <c r="A34" s="78"/>
      <c r="B34" s="79"/>
      <c r="C34" s="78"/>
      <c r="D34" s="79"/>
      <c r="E34" s="79"/>
      <c r="F34" s="79"/>
      <c r="G34" s="79"/>
      <c r="H34" s="79"/>
      <c r="I34" s="77"/>
    </row>
  </sheetData>
  <autoFilter ref="A4:I34" xr:uid="{00000000-0009-0000-0000-000009000000}"/>
  <pageMargins left="0.75" right="0.75" top="1" bottom="1" header="0.5" footer="0.5"/>
  <headerFooter>
    <oddHeader>&amp;R&amp;"Aptos"&amp;10&amp;K000000 Classification: Confidential&amp;1#_x000D_</oddHeader>
  </headerFooter>
  <extLst>
    <ext xmlns:x14="http://schemas.microsoft.com/office/spreadsheetml/2009/9/main" uri="{CCE6A557-97BC-4b89-ADB6-D9C93CAAB3DF}">
      <x14:dataValidations xmlns:xm="http://schemas.microsoft.com/office/excel/2006/main" count="1">
        <x14:dataValidation type="list" allowBlank="1" errorTitle="Not in list" error="Pick a value from the list." xr:uid="{00000000-0002-0000-0900-000000000000}">
          <x14:formula1>
            <xm:f>Lists!$N$5:$N$8</xm:f>
          </x14:formula1>
          <xm:sqref>C5:C34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I14"/>
  <sheetViews>
    <sheetView workbookViewId="0">
      <pane xSplit="1" ySplit="4" topLeftCell="B5" activePane="bottomRight" state="frozen"/>
      <selection pane="topRight"/>
      <selection pane="bottomLeft"/>
      <selection pane="bottomRight"/>
    </sheetView>
  </sheetViews>
  <sheetFormatPr defaultRowHeight="14.4" x14ac:dyDescent="0.3"/>
  <cols>
    <col min="1" max="1" width="6" customWidth="1"/>
    <col min="2" max="2" width="46" customWidth="1"/>
    <col min="3" max="3" width="12" customWidth="1"/>
    <col min="4" max="4" width="10" customWidth="1"/>
    <col min="5" max="5" width="7" customWidth="1"/>
    <col min="6" max="6" width="58" customWidth="1"/>
    <col min="7" max="7" width="38" customWidth="1"/>
    <col min="8" max="8" width="12" customWidth="1"/>
    <col min="9" max="9" width="13" customWidth="1"/>
  </cols>
  <sheetData>
    <row r="1" spans="1:9" ht="17.399999999999999" x14ac:dyDescent="0.3">
      <c r="A1" s="1" t="s">
        <v>797</v>
      </c>
    </row>
    <row r="2" spans="1:9" x14ac:dyDescent="0.3">
      <c r="A2" s="2" t="s">
        <v>798</v>
      </c>
    </row>
    <row r="4" spans="1:9" ht="30" customHeight="1" x14ac:dyDescent="0.3">
      <c r="A4" s="28" t="s">
        <v>799</v>
      </c>
      <c r="B4" s="28" t="s">
        <v>800</v>
      </c>
      <c r="C4" s="28" t="s">
        <v>801</v>
      </c>
      <c r="D4" s="28" t="s">
        <v>802</v>
      </c>
      <c r="E4" s="28" t="s">
        <v>803</v>
      </c>
      <c r="F4" s="28" t="s">
        <v>804</v>
      </c>
      <c r="G4" s="28" t="s">
        <v>805</v>
      </c>
      <c r="H4" s="28" t="s">
        <v>63</v>
      </c>
      <c r="I4" s="28" t="s">
        <v>806</v>
      </c>
    </row>
    <row r="5" spans="1:9" ht="42" customHeight="1" x14ac:dyDescent="0.3">
      <c r="A5" s="87" t="s">
        <v>807</v>
      </c>
      <c r="B5" s="88" t="s">
        <v>808</v>
      </c>
      <c r="C5" s="87" t="s">
        <v>809</v>
      </c>
      <c r="D5" s="87" t="s">
        <v>809</v>
      </c>
      <c r="E5" s="87">
        <f>IFERROR(MATCH($C5,{"Low";"Medium";"High"},0)*MATCH($D5,{"Low";"Medium";"High"},0),"")</f>
        <v>9</v>
      </c>
      <c r="F5" s="88" t="s">
        <v>810</v>
      </c>
      <c r="G5" s="88" t="s">
        <v>811</v>
      </c>
      <c r="H5" s="87" t="s">
        <v>62</v>
      </c>
      <c r="I5" s="89"/>
    </row>
    <row r="6" spans="1:9" ht="42" customHeight="1" x14ac:dyDescent="0.3">
      <c r="A6" s="87" t="s">
        <v>812</v>
      </c>
      <c r="B6" s="88" t="s">
        <v>813</v>
      </c>
      <c r="C6" s="87" t="s">
        <v>809</v>
      </c>
      <c r="D6" s="87" t="s">
        <v>809</v>
      </c>
      <c r="E6" s="87">
        <f>IFERROR(MATCH($C6,{"Low";"Medium";"High"},0)*MATCH($D6,{"Low";"Medium";"High"},0),"")</f>
        <v>9</v>
      </c>
      <c r="F6" s="88" t="s">
        <v>814</v>
      </c>
      <c r="G6" s="88" t="s">
        <v>815</v>
      </c>
      <c r="H6" s="87" t="s">
        <v>62</v>
      </c>
      <c r="I6" s="89"/>
    </row>
    <row r="7" spans="1:9" ht="42" customHeight="1" x14ac:dyDescent="0.3">
      <c r="A7" s="87" t="s">
        <v>816</v>
      </c>
      <c r="B7" s="88" t="s">
        <v>817</v>
      </c>
      <c r="C7" s="87" t="s">
        <v>818</v>
      </c>
      <c r="D7" s="87" t="s">
        <v>809</v>
      </c>
      <c r="E7" s="87">
        <f>IFERROR(MATCH($C7,{"Low";"Medium";"High"},0)*MATCH($D7,{"Low";"Medium";"High"},0),"")</f>
        <v>6</v>
      </c>
      <c r="F7" s="88" t="s">
        <v>819</v>
      </c>
      <c r="G7" s="88" t="s">
        <v>820</v>
      </c>
      <c r="H7" s="87" t="s">
        <v>62</v>
      </c>
      <c r="I7" s="89"/>
    </row>
    <row r="8" spans="1:9" ht="42" customHeight="1" x14ac:dyDescent="0.3">
      <c r="A8" s="87" t="s">
        <v>821</v>
      </c>
      <c r="B8" s="88" t="s">
        <v>822</v>
      </c>
      <c r="C8" s="87" t="s">
        <v>818</v>
      </c>
      <c r="D8" s="87" t="s">
        <v>809</v>
      </c>
      <c r="E8" s="87">
        <f>IFERROR(MATCH($C8,{"Low";"Medium";"High"},0)*MATCH($D8,{"Low";"Medium";"High"},0),"")</f>
        <v>6</v>
      </c>
      <c r="F8" s="88" t="s">
        <v>823</v>
      </c>
      <c r="G8" s="88" t="s">
        <v>824</v>
      </c>
      <c r="H8" s="87" t="s">
        <v>62</v>
      </c>
      <c r="I8" s="89"/>
    </row>
    <row r="9" spans="1:9" ht="42" customHeight="1" x14ac:dyDescent="0.3">
      <c r="A9" s="87" t="s">
        <v>825</v>
      </c>
      <c r="B9" s="88" t="s">
        <v>826</v>
      </c>
      <c r="C9" s="87" t="s">
        <v>818</v>
      </c>
      <c r="D9" s="87" t="s">
        <v>809</v>
      </c>
      <c r="E9" s="87">
        <f>IFERROR(MATCH($C9,{"Low";"Medium";"High"},0)*MATCH($D9,{"Low";"Medium";"High"},0),"")</f>
        <v>6</v>
      </c>
      <c r="F9" s="88" t="s">
        <v>827</v>
      </c>
      <c r="G9" s="88" t="s">
        <v>828</v>
      </c>
      <c r="H9" s="87" t="s">
        <v>62</v>
      </c>
      <c r="I9" s="89"/>
    </row>
    <row r="10" spans="1:9" ht="42" customHeight="1" x14ac:dyDescent="0.3">
      <c r="A10" s="87" t="s">
        <v>829</v>
      </c>
      <c r="B10" s="88" t="s">
        <v>830</v>
      </c>
      <c r="C10" s="87" t="s">
        <v>818</v>
      </c>
      <c r="D10" s="87" t="s">
        <v>809</v>
      </c>
      <c r="E10" s="87">
        <f>IFERROR(MATCH($C10,{"Low";"Medium";"High"},0)*MATCH($D10,{"Low";"Medium";"High"},0),"")</f>
        <v>6</v>
      </c>
      <c r="F10" s="88" t="s">
        <v>831</v>
      </c>
      <c r="G10" s="88" t="s">
        <v>832</v>
      </c>
      <c r="H10" s="87" t="s">
        <v>62</v>
      </c>
      <c r="I10" s="89"/>
    </row>
    <row r="11" spans="1:9" ht="42" customHeight="1" x14ac:dyDescent="0.3">
      <c r="A11" s="87" t="s">
        <v>833</v>
      </c>
      <c r="B11" s="88" t="s">
        <v>834</v>
      </c>
      <c r="C11" s="87" t="s">
        <v>818</v>
      </c>
      <c r="D11" s="87" t="s">
        <v>809</v>
      </c>
      <c r="E11" s="87">
        <f>IFERROR(MATCH($C11,{"Low";"Medium";"High"},0)*MATCH($D11,{"Low";"Medium";"High"},0),"")</f>
        <v>6</v>
      </c>
      <c r="F11" s="88" t="s">
        <v>835</v>
      </c>
      <c r="G11" s="88" t="s">
        <v>836</v>
      </c>
      <c r="H11" s="87" t="s">
        <v>62</v>
      </c>
      <c r="I11" s="89"/>
    </row>
    <row r="12" spans="1:9" ht="42" customHeight="1" x14ac:dyDescent="0.3">
      <c r="A12" s="87" t="s">
        <v>837</v>
      </c>
      <c r="B12" s="88" t="s">
        <v>838</v>
      </c>
      <c r="C12" s="87" t="s">
        <v>818</v>
      </c>
      <c r="D12" s="87" t="s">
        <v>818</v>
      </c>
      <c r="E12" s="87">
        <f>IFERROR(MATCH($C12,{"Low";"Medium";"High"},0)*MATCH($D12,{"Low";"Medium";"High"},0),"")</f>
        <v>4</v>
      </c>
      <c r="F12" s="88" t="s">
        <v>839</v>
      </c>
      <c r="G12" s="88" t="s">
        <v>840</v>
      </c>
      <c r="H12" s="87" t="s">
        <v>62</v>
      </c>
      <c r="I12" s="89"/>
    </row>
    <row r="13" spans="1:9" ht="42" customHeight="1" x14ac:dyDescent="0.3">
      <c r="A13" s="87" t="s">
        <v>841</v>
      </c>
      <c r="B13" s="88" t="s">
        <v>842</v>
      </c>
      <c r="C13" s="87" t="s">
        <v>818</v>
      </c>
      <c r="D13" s="87" t="s">
        <v>818</v>
      </c>
      <c r="E13" s="87">
        <f>IFERROR(MATCH($C13,{"Low";"Medium";"High"},0)*MATCH($D13,{"Low";"Medium";"High"},0),"")</f>
        <v>4</v>
      </c>
      <c r="F13" s="88" t="s">
        <v>843</v>
      </c>
      <c r="G13" s="88" t="s">
        <v>844</v>
      </c>
      <c r="H13" s="87" t="s">
        <v>62</v>
      </c>
      <c r="I13" s="89"/>
    </row>
    <row r="14" spans="1:9" ht="42" customHeight="1" x14ac:dyDescent="0.3">
      <c r="A14" s="87" t="s">
        <v>845</v>
      </c>
      <c r="B14" s="88" t="s">
        <v>846</v>
      </c>
      <c r="C14" s="87" t="s">
        <v>847</v>
      </c>
      <c r="D14" s="87" t="s">
        <v>809</v>
      </c>
      <c r="E14" s="87">
        <f>IFERROR(MATCH($C14,{"Low";"Medium";"High"},0)*MATCH($D14,{"Low";"Medium";"High"},0),"")</f>
        <v>3</v>
      </c>
      <c r="F14" s="88" t="s">
        <v>848</v>
      </c>
      <c r="G14" s="88" t="s">
        <v>849</v>
      </c>
      <c r="H14" s="87" t="s">
        <v>62</v>
      </c>
      <c r="I14" s="89"/>
    </row>
  </sheetData>
  <conditionalFormatting sqref="E5:E40">
    <cfRule type="cellIs" dxfId="4" priority="1" operator="greaterThanOrEqual">
      <formula>6</formula>
    </cfRule>
    <cfRule type="cellIs" dxfId="3" priority="2" operator="between">
      <formula>3</formula>
      <formula>5</formula>
    </cfRule>
    <cfRule type="cellIs" dxfId="2" priority="3" operator="lessThanOrEqual">
      <formula>2</formula>
    </cfRule>
  </conditionalFormatting>
  <pageMargins left="0.75" right="0.75" top="1" bottom="1" header="0.5" footer="0.5"/>
  <headerFooter>
    <oddHeader>&amp;R&amp;"Aptos"&amp;10&amp;K000000 Classification: Confidential&amp;1#_x000D_</oddHeader>
  </headerFooter>
  <extLst>
    <ext xmlns:x14="http://schemas.microsoft.com/office/spreadsheetml/2009/9/main" uri="{CCE6A557-97BC-4b89-ADB6-D9C93CAAB3DF}">
      <x14:dataValidations xmlns:xm="http://schemas.microsoft.com/office/excel/2006/main" count="2">
        <x14:dataValidation type="list" allowBlank="1" errorTitle="Not in list" error="Pick a value from the list." xr:uid="{00000000-0002-0000-0A00-000000000000}">
          <x14:formula1>
            <xm:f>Lists!$H$5:$H$7</xm:f>
          </x14:formula1>
          <xm:sqref>C5:C40</xm:sqref>
        </x14:dataValidation>
        <x14:dataValidation type="list" allowBlank="1" errorTitle="Not in list" error="Pick a value from the list." xr:uid="{00000000-0002-0000-0A00-000001000000}">
          <x14:formula1>
            <xm:f>Lists!$I$5:$I$7</xm:f>
          </x14:formula1>
          <xm:sqref>D5:D40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00000"/>
  </sheetPr>
  <dimension ref="A1:M105"/>
  <sheetViews>
    <sheetView workbookViewId="0">
      <pane xSplit="1" ySplit="4" topLeftCell="B5" activePane="bottomRight" state="frozen"/>
      <selection pane="topRight"/>
      <selection pane="bottomLeft"/>
      <selection pane="bottomRight"/>
    </sheetView>
  </sheetViews>
  <sheetFormatPr defaultRowHeight="14.4" x14ac:dyDescent="0.3"/>
  <cols>
    <col min="1" max="1" width="8" customWidth="1"/>
    <col min="2" max="2" width="12" customWidth="1"/>
    <col min="3" max="3" width="10" customWidth="1"/>
    <col min="4" max="4" width="14" customWidth="1"/>
    <col min="5" max="5" width="18" customWidth="1"/>
    <col min="6" max="6" width="46" customWidth="1"/>
    <col min="7" max="8" width="30" customWidth="1"/>
    <col min="9" max="9" width="38" customWidth="1"/>
    <col min="10" max="10" width="14" customWidth="1"/>
    <col min="11" max="11" width="30" customWidth="1"/>
    <col min="12" max="13" width="12" customWidth="1"/>
  </cols>
  <sheetData>
    <row r="1" spans="1:13" ht="17.399999999999999" x14ac:dyDescent="0.3">
      <c r="A1" s="1" t="s">
        <v>850</v>
      </c>
    </row>
    <row r="2" spans="1:13" x14ac:dyDescent="0.3">
      <c r="A2" s="2" t="s">
        <v>851</v>
      </c>
    </row>
    <row r="4" spans="1:13" ht="30" customHeight="1" x14ac:dyDescent="0.3">
      <c r="A4" s="28" t="s">
        <v>799</v>
      </c>
      <c r="B4" s="28" t="s">
        <v>852</v>
      </c>
      <c r="C4" s="28" t="s">
        <v>853</v>
      </c>
      <c r="D4" s="28" t="s">
        <v>854</v>
      </c>
      <c r="E4" s="28" t="s">
        <v>855</v>
      </c>
      <c r="F4" s="28" t="s">
        <v>856</v>
      </c>
      <c r="G4" s="28" t="s">
        <v>857</v>
      </c>
      <c r="H4" s="28" t="s">
        <v>858</v>
      </c>
      <c r="I4" s="28" t="s">
        <v>859</v>
      </c>
      <c r="J4" s="28" t="s">
        <v>860</v>
      </c>
      <c r="K4" s="28" t="s">
        <v>861</v>
      </c>
      <c r="L4" s="28" t="s">
        <v>63</v>
      </c>
      <c r="M4" s="28" t="s">
        <v>862</v>
      </c>
    </row>
    <row r="5" spans="1:13" ht="48" customHeight="1" x14ac:dyDescent="0.3">
      <c r="A5" s="73" t="s">
        <v>863</v>
      </c>
      <c r="B5" s="73" t="s">
        <v>864</v>
      </c>
      <c r="C5" s="73" t="s">
        <v>865</v>
      </c>
      <c r="D5" s="73" t="s">
        <v>866</v>
      </c>
      <c r="E5" s="73" t="s">
        <v>867</v>
      </c>
      <c r="F5" s="75" t="s">
        <v>868</v>
      </c>
      <c r="G5" s="75" t="s">
        <v>869</v>
      </c>
      <c r="H5" s="75" t="s">
        <v>870</v>
      </c>
      <c r="I5" s="75" t="s">
        <v>871</v>
      </c>
      <c r="J5" s="73" t="s">
        <v>872</v>
      </c>
      <c r="K5" s="75" t="s">
        <v>873</v>
      </c>
      <c r="L5" s="73" t="s">
        <v>874</v>
      </c>
      <c r="M5" s="73" t="s">
        <v>864</v>
      </c>
    </row>
    <row r="6" spans="1:13" x14ac:dyDescent="0.3">
      <c r="A6" s="78"/>
      <c r="B6" s="77"/>
      <c r="C6" s="78"/>
      <c r="D6" s="78"/>
      <c r="E6" s="78"/>
      <c r="F6" s="79"/>
      <c r="G6" s="79"/>
      <c r="H6" s="79"/>
      <c r="I6" s="79"/>
      <c r="J6" s="78"/>
      <c r="K6" s="79"/>
      <c r="L6" s="78"/>
      <c r="M6" s="77"/>
    </row>
    <row r="7" spans="1:13" x14ac:dyDescent="0.3">
      <c r="A7" s="78"/>
      <c r="B7" s="77"/>
      <c r="C7" s="78"/>
      <c r="D7" s="78"/>
      <c r="E7" s="78"/>
      <c r="F7" s="79"/>
      <c r="G7" s="79"/>
      <c r="H7" s="79"/>
      <c r="I7" s="79"/>
      <c r="J7" s="78"/>
      <c r="K7" s="79"/>
      <c r="L7" s="78"/>
      <c r="M7" s="77"/>
    </row>
    <row r="8" spans="1:13" x14ac:dyDescent="0.3">
      <c r="A8" s="78"/>
      <c r="B8" s="77"/>
      <c r="C8" s="78"/>
      <c r="D8" s="78"/>
      <c r="E8" s="78"/>
      <c r="F8" s="79"/>
      <c r="G8" s="79"/>
      <c r="H8" s="79"/>
      <c r="I8" s="79"/>
      <c r="J8" s="78"/>
      <c r="K8" s="79"/>
      <c r="L8" s="78"/>
      <c r="M8" s="77"/>
    </row>
    <row r="9" spans="1:13" x14ac:dyDescent="0.3">
      <c r="A9" s="78"/>
      <c r="B9" s="77"/>
      <c r="C9" s="78"/>
      <c r="D9" s="78"/>
      <c r="E9" s="78"/>
      <c r="F9" s="79"/>
      <c r="G9" s="79"/>
      <c r="H9" s="79"/>
      <c r="I9" s="79"/>
      <c r="J9" s="78"/>
      <c r="K9" s="79"/>
      <c r="L9" s="78"/>
      <c r="M9" s="77"/>
    </row>
    <row r="10" spans="1:13" x14ac:dyDescent="0.3">
      <c r="A10" s="78"/>
      <c r="B10" s="77"/>
      <c r="C10" s="78"/>
      <c r="D10" s="78"/>
      <c r="E10" s="78"/>
      <c r="F10" s="79"/>
      <c r="G10" s="79"/>
      <c r="H10" s="79"/>
      <c r="I10" s="79"/>
      <c r="J10" s="78"/>
      <c r="K10" s="79"/>
      <c r="L10" s="78"/>
      <c r="M10" s="77"/>
    </row>
    <row r="11" spans="1:13" x14ac:dyDescent="0.3">
      <c r="A11" s="78"/>
      <c r="B11" s="77"/>
      <c r="C11" s="78"/>
      <c r="D11" s="78"/>
      <c r="E11" s="78"/>
      <c r="F11" s="79"/>
      <c r="G11" s="79"/>
      <c r="H11" s="79"/>
      <c r="I11" s="79"/>
      <c r="J11" s="78"/>
      <c r="K11" s="79"/>
      <c r="L11" s="78"/>
      <c r="M11" s="77"/>
    </row>
    <row r="12" spans="1:13" x14ac:dyDescent="0.3">
      <c r="A12" s="78"/>
      <c r="B12" s="77"/>
      <c r="C12" s="78"/>
      <c r="D12" s="78"/>
      <c r="E12" s="78"/>
      <c r="F12" s="79"/>
      <c r="G12" s="79"/>
      <c r="H12" s="79"/>
      <c r="I12" s="79"/>
      <c r="J12" s="78"/>
      <c r="K12" s="79"/>
      <c r="L12" s="78"/>
      <c r="M12" s="77"/>
    </row>
    <row r="13" spans="1:13" x14ac:dyDescent="0.3">
      <c r="A13" s="78"/>
      <c r="B13" s="77"/>
      <c r="C13" s="78"/>
      <c r="D13" s="78"/>
      <c r="E13" s="78"/>
      <c r="F13" s="79"/>
      <c r="G13" s="79"/>
      <c r="H13" s="79"/>
      <c r="I13" s="79"/>
      <c r="J13" s="78"/>
      <c r="K13" s="79"/>
      <c r="L13" s="78"/>
      <c r="M13" s="77"/>
    </row>
    <row r="14" spans="1:13" x14ac:dyDescent="0.3">
      <c r="A14" s="78"/>
      <c r="B14" s="77"/>
      <c r="C14" s="78"/>
      <c r="D14" s="78"/>
      <c r="E14" s="78"/>
      <c r="F14" s="79"/>
      <c r="G14" s="79"/>
      <c r="H14" s="79"/>
      <c r="I14" s="79"/>
      <c r="J14" s="78"/>
      <c r="K14" s="79"/>
      <c r="L14" s="78"/>
      <c r="M14" s="77"/>
    </row>
    <row r="15" spans="1:13" x14ac:dyDescent="0.3">
      <c r="A15" s="78"/>
      <c r="B15" s="77"/>
      <c r="C15" s="78"/>
      <c r="D15" s="78"/>
      <c r="E15" s="78"/>
      <c r="F15" s="79"/>
      <c r="G15" s="79"/>
      <c r="H15" s="79"/>
      <c r="I15" s="79"/>
      <c r="J15" s="78"/>
      <c r="K15" s="79"/>
      <c r="L15" s="78"/>
      <c r="M15" s="77"/>
    </row>
    <row r="16" spans="1:13" x14ac:dyDescent="0.3">
      <c r="A16" s="78"/>
      <c r="B16" s="77"/>
      <c r="C16" s="78"/>
      <c r="D16" s="78"/>
      <c r="E16" s="78"/>
      <c r="F16" s="79"/>
      <c r="G16" s="79"/>
      <c r="H16" s="79"/>
      <c r="I16" s="79"/>
      <c r="J16" s="78"/>
      <c r="K16" s="79"/>
      <c r="L16" s="78"/>
      <c r="M16" s="77"/>
    </row>
    <row r="17" spans="1:13" x14ac:dyDescent="0.3">
      <c r="A17" s="78"/>
      <c r="B17" s="77"/>
      <c r="C17" s="78"/>
      <c r="D17" s="78"/>
      <c r="E17" s="78"/>
      <c r="F17" s="79"/>
      <c r="G17" s="79"/>
      <c r="H17" s="79"/>
      <c r="I17" s="79"/>
      <c r="J17" s="78"/>
      <c r="K17" s="79"/>
      <c r="L17" s="78"/>
      <c r="M17" s="77"/>
    </row>
    <row r="18" spans="1:13" x14ac:dyDescent="0.3">
      <c r="A18" s="78"/>
      <c r="B18" s="77"/>
      <c r="C18" s="78"/>
      <c r="D18" s="78"/>
      <c r="E18" s="78"/>
      <c r="F18" s="79"/>
      <c r="G18" s="79"/>
      <c r="H18" s="79"/>
      <c r="I18" s="79"/>
      <c r="J18" s="78"/>
      <c r="K18" s="79"/>
      <c r="L18" s="78"/>
      <c r="M18" s="77"/>
    </row>
    <row r="19" spans="1:13" x14ac:dyDescent="0.3">
      <c r="A19" s="78"/>
      <c r="B19" s="77"/>
      <c r="C19" s="78"/>
      <c r="D19" s="78"/>
      <c r="E19" s="78"/>
      <c r="F19" s="79"/>
      <c r="G19" s="79"/>
      <c r="H19" s="79"/>
      <c r="I19" s="79"/>
      <c r="J19" s="78"/>
      <c r="K19" s="79"/>
      <c r="L19" s="78"/>
      <c r="M19" s="77"/>
    </row>
    <row r="20" spans="1:13" x14ac:dyDescent="0.3">
      <c r="A20" s="78"/>
      <c r="B20" s="77"/>
      <c r="C20" s="78"/>
      <c r="D20" s="78"/>
      <c r="E20" s="78"/>
      <c r="F20" s="79"/>
      <c r="G20" s="79"/>
      <c r="H20" s="79"/>
      <c r="I20" s="79"/>
      <c r="J20" s="78"/>
      <c r="K20" s="79"/>
      <c r="L20" s="78"/>
      <c r="M20" s="77"/>
    </row>
    <row r="21" spans="1:13" x14ac:dyDescent="0.3">
      <c r="A21" s="78"/>
      <c r="B21" s="77"/>
      <c r="C21" s="78"/>
      <c r="D21" s="78"/>
      <c r="E21" s="78"/>
      <c r="F21" s="79"/>
      <c r="G21" s="79"/>
      <c r="H21" s="79"/>
      <c r="I21" s="79"/>
      <c r="J21" s="78"/>
      <c r="K21" s="79"/>
      <c r="L21" s="78"/>
      <c r="M21" s="77"/>
    </row>
    <row r="22" spans="1:13" x14ac:dyDescent="0.3">
      <c r="A22" s="78"/>
      <c r="B22" s="77"/>
      <c r="C22" s="78"/>
      <c r="D22" s="78"/>
      <c r="E22" s="78"/>
      <c r="F22" s="79"/>
      <c r="G22" s="79"/>
      <c r="H22" s="79"/>
      <c r="I22" s="79"/>
      <c r="J22" s="78"/>
      <c r="K22" s="79"/>
      <c r="L22" s="78"/>
      <c r="M22" s="77"/>
    </row>
    <row r="23" spans="1:13" x14ac:dyDescent="0.3">
      <c r="A23" s="78"/>
      <c r="B23" s="77"/>
      <c r="C23" s="78"/>
      <c r="D23" s="78"/>
      <c r="E23" s="78"/>
      <c r="F23" s="79"/>
      <c r="G23" s="79"/>
      <c r="H23" s="79"/>
      <c r="I23" s="79"/>
      <c r="J23" s="78"/>
      <c r="K23" s="79"/>
      <c r="L23" s="78"/>
      <c r="M23" s="77"/>
    </row>
    <row r="24" spans="1:13" x14ac:dyDescent="0.3">
      <c r="A24" s="78"/>
      <c r="B24" s="77"/>
      <c r="C24" s="78"/>
      <c r="D24" s="78"/>
      <c r="E24" s="78"/>
      <c r="F24" s="79"/>
      <c r="G24" s="79"/>
      <c r="H24" s="79"/>
      <c r="I24" s="79"/>
      <c r="J24" s="78"/>
      <c r="K24" s="79"/>
      <c r="L24" s="78"/>
      <c r="M24" s="77"/>
    </row>
    <row r="25" spans="1:13" x14ac:dyDescent="0.3">
      <c r="A25" s="78"/>
      <c r="B25" s="77"/>
      <c r="C25" s="78"/>
      <c r="D25" s="78"/>
      <c r="E25" s="78"/>
      <c r="F25" s="79"/>
      <c r="G25" s="79"/>
      <c r="H25" s="79"/>
      <c r="I25" s="79"/>
      <c r="J25" s="78"/>
      <c r="K25" s="79"/>
      <c r="L25" s="78"/>
      <c r="M25" s="77"/>
    </row>
    <row r="26" spans="1:13" x14ac:dyDescent="0.3">
      <c r="A26" s="78"/>
      <c r="B26" s="77"/>
      <c r="C26" s="78"/>
      <c r="D26" s="78"/>
      <c r="E26" s="78"/>
      <c r="F26" s="79"/>
      <c r="G26" s="79"/>
      <c r="H26" s="79"/>
      <c r="I26" s="79"/>
      <c r="J26" s="78"/>
      <c r="K26" s="79"/>
      <c r="L26" s="78"/>
      <c r="M26" s="77"/>
    </row>
    <row r="27" spans="1:13" x14ac:dyDescent="0.3">
      <c r="A27" s="78"/>
      <c r="B27" s="77"/>
      <c r="C27" s="78"/>
      <c r="D27" s="78"/>
      <c r="E27" s="78"/>
      <c r="F27" s="79"/>
      <c r="G27" s="79"/>
      <c r="H27" s="79"/>
      <c r="I27" s="79"/>
      <c r="J27" s="78"/>
      <c r="K27" s="79"/>
      <c r="L27" s="78"/>
      <c r="M27" s="77"/>
    </row>
    <row r="28" spans="1:13" x14ac:dyDescent="0.3">
      <c r="A28" s="78"/>
      <c r="B28" s="77"/>
      <c r="C28" s="78"/>
      <c r="D28" s="78"/>
      <c r="E28" s="78"/>
      <c r="F28" s="79"/>
      <c r="G28" s="79"/>
      <c r="H28" s="79"/>
      <c r="I28" s="79"/>
      <c r="J28" s="78"/>
      <c r="K28" s="79"/>
      <c r="L28" s="78"/>
      <c r="M28" s="77"/>
    </row>
    <row r="29" spans="1:13" x14ac:dyDescent="0.3">
      <c r="A29" s="78"/>
      <c r="B29" s="77"/>
      <c r="C29" s="78"/>
      <c r="D29" s="78"/>
      <c r="E29" s="78"/>
      <c r="F29" s="79"/>
      <c r="G29" s="79"/>
      <c r="H29" s="79"/>
      <c r="I29" s="79"/>
      <c r="J29" s="78"/>
      <c r="K29" s="79"/>
      <c r="L29" s="78"/>
      <c r="M29" s="77"/>
    </row>
    <row r="30" spans="1:13" x14ac:dyDescent="0.3">
      <c r="A30" s="78"/>
      <c r="B30" s="77"/>
      <c r="C30" s="78"/>
      <c r="D30" s="78"/>
      <c r="E30" s="78"/>
      <c r="F30" s="79"/>
      <c r="G30" s="79"/>
      <c r="H30" s="79"/>
      <c r="I30" s="79"/>
      <c r="J30" s="78"/>
      <c r="K30" s="79"/>
      <c r="L30" s="78"/>
      <c r="M30" s="77"/>
    </row>
    <row r="31" spans="1:13" x14ac:dyDescent="0.3">
      <c r="A31" s="78"/>
      <c r="B31" s="77"/>
      <c r="C31" s="78"/>
      <c r="D31" s="78"/>
      <c r="E31" s="78"/>
      <c r="F31" s="79"/>
      <c r="G31" s="79"/>
      <c r="H31" s="79"/>
      <c r="I31" s="79"/>
      <c r="J31" s="78"/>
      <c r="K31" s="79"/>
      <c r="L31" s="78"/>
      <c r="M31" s="77"/>
    </row>
    <row r="32" spans="1:13" x14ac:dyDescent="0.3">
      <c r="A32" s="78"/>
      <c r="B32" s="77"/>
      <c r="C32" s="78"/>
      <c r="D32" s="78"/>
      <c r="E32" s="78"/>
      <c r="F32" s="79"/>
      <c r="G32" s="79"/>
      <c r="H32" s="79"/>
      <c r="I32" s="79"/>
      <c r="J32" s="78"/>
      <c r="K32" s="79"/>
      <c r="L32" s="78"/>
      <c r="M32" s="77"/>
    </row>
    <row r="33" spans="1:13" x14ac:dyDescent="0.3">
      <c r="A33" s="78"/>
      <c r="B33" s="77"/>
      <c r="C33" s="78"/>
      <c r="D33" s="78"/>
      <c r="E33" s="78"/>
      <c r="F33" s="79"/>
      <c r="G33" s="79"/>
      <c r="H33" s="79"/>
      <c r="I33" s="79"/>
      <c r="J33" s="78"/>
      <c r="K33" s="79"/>
      <c r="L33" s="78"/>
      <c r="M33" s="77"/>
    </row>
    <row r="34" spans="1:13" x14ac:dyDescent="0.3">
      <c r="A34" s="78"/>
      <c r="B34" s="77"/>
      <c r="C34" s="78"/>
      <c r="D34" s="78"/>
      <c r="E34" s="78"/>
      <c r="F34" s="79"/>
      <c r="G34" s="79"/>
      <c r="H34" s="79"/>
      <c r="I34" s="79"/>
      <c r="J34" s="78"/>
      <c r="K34" s="79"/>
      <c r="L34" s="78"/>
      <c r="M34" s="77"/>
    </row>
    <row r="35" spans="1:13" x14ac:dyDescent="0.3">
      <c r="A35" s="78"/>
      <c r="B35" s="77"/>
      <c r="C35" s="78"/>
      <c r="D35" s="78"/>
      <c r="E35" s="78"/>
      <c r="F35" s="79"/>
      <c r="G35" s="79"/>
      <c r="H35" s="79"/>
      <c r="I35" s="79"/>
      <c r="J35" s="78"/>
      <c r="K35" s="79"/>
      <c r="L35" s="78"/>
      <c r="M35" s="77"/>
    </row>
    <row r="36" spans="1:13" x14ac:dyDescent="0.3">
      <c r="A36" s="78"/>
      <c r="B36" s="77"/>
      <c r="C36" s="78"/>
      <c r="D36" s="78"/>
      <c r="E36" s="78"/>
      <c r="F36" s="79"/>
      <c r="G36" s="79"/>
      <c r="H36" s="79"/>
      <c r="I36" s="79"/>
      <c r="J36" s="78"/>
      <c r="K36" s="79"/>
      <c r="L36" s="78"/>
      <c r="M36" s="77"/>
    </row>
    <row r="37" spans="1:13" x14ac:dyDescent="0.3">
      <c r="A37" s="78"/>
      <c r="B37" s="77"/>
      <c r="C37" s="78"/>
      <c r="D37" s="78"/>
      <c r="E37" s="78"/>
      <c r="F37" s="79"/>
      <c r="G37" s="79"/>
      <c r="H37" s="79"/>
      <c r="I37" s="79"/>
      <c r="J37" s="78"/>
      <c r="K37" s="79"/>
      <c r="L37" s="78"/>
      <c r="M37" s="77"/>
    </row>
    <row r="38" spans="1:13" x14ac:dyDescent="0.3">
      <c r="A38" s="78"/>
      <c r="B38" s="77"/>
      <c r="C38" s="78"/>
      <c r="D38" s="78"/>
      <c r="E38" s="78"/>
      <c r="F38" s="79"/>
      <c r="G38" s="79"/>
      <c r="H38" s="79"/>
      <c r="I38" s="79"/>
      <c r="J38" s="78"/>
      <c r="K38" s="79"/>
      <c r="L38" s="78"/>
      <c r="M38" s="77"/>
    </row>
    <row r="39" spans="1:13" x14ac:dyDescent="0.3">
      <c r="A39" s="78"/>
      <c r="B39" s="77"/>
      <c r="C39" s="78"/>
      <c r="D39" s="78"/>
      <c r="E39" s="78"/>
      <c r="F39" s="79"/>
      <c r="G39" s="79"/>
      <c r="H39" s="79"/>
      <c r="I39" s="79"/>
      <c r="J39" s="78"/>
      <c r="K39" s="79"/>
      <c r="L39" s="78"/>
      <c r="M39" s="77"/>
    </row>
    <row r="40" spans="1:13" x14ac:dyDescent="0.3">
      <c r="A40" s="78"/>
      <c r="B40" s="77"/>
      <c r="C40" s="78"/>
      <c r="D40" s="78"/>
      <c r="E40" s="78"/>
      <c r="F40" s="79"/>
      <c r="G40" s="79"/>
      <c r="H40" s="79"/>
      <c r="I40" s="79"/>
      <c r="J40" s="78"/>
      <c r="K40" s="79"/>
      <c r="L40" s="78"/>
      <c r="M40" s="77"/>
    </row>
    <row r="41" spans="1:13" x14ac:dyDescent="0.3">
      <c r="A41" s="78"/>
      <c r="B41" s="77"/>
      <c r="C41" s="78"/>
      <c r="D41" s="78"/>
      <c r="E41" s="78"/>
      <c r="F41" s="79"/>
      <c r="G41" s="79"/>
      <c r="H41" s="79"/>
      <c r="I41" s="79"/>
      <c r="J41" s="78"/>
      <c r="K41" s="79"/>
      <c r="L41" s="78"/>
      <c r="M41" s="77"/>
    </row>
    <row r="42" spans="1:13" x14ac:dyDescent="0.3">
      <c r="A42" s="78"/>
      <c r="B42" s="77"/>
      <c r="C42" s="78"/>
      <c r="D42" s="78"/>
      <c r="E42" s="78"/>
      <c r="F42" s="79"/>
      <c r="G42" s="79"/>
      <c r="H42" s="79"/>
      <c r="I42" s="79"/>
      <c r="J42" s="78"/>
      <c r="K42" s="79"/>
      <c r="L42" s="78"/>
      <c r="M42" s="77"/>
    </row>
    <row r="43" spans="1:13" x14ac:dyDescent="0.3">
      <c r="A43" s="78"/>
      <c r="B43" s="77"/>
      <c r="C43" s="78"/>
      <c r="D43" s="78"/>
      <c r="E43" s="78"/>
      <c r="F43" s="79"/>
      <c r="G43" s="79"/>
      <c r="H43" s="79"/>
      <c r="I43" s="79"/>
      <c r="J43" s="78"/>
      <c r="K43" s="79"/>
      <c r="L43" s="78"/>
      <c r="M43" s="77"/>
    </row>
    <row r="44" spans="1:13" x14ac:dyDescent="0.3">
      <c r="A44" s="78"/>
      <c r="B44" s="77"/>
      <c r="C44" s="78"/>
      <c r="D44" s="78"/>
      <c r="E44" s="78"/>
      <c r="F44" s="79"/>
      <c r="G44" s="79"/>
      <c r="H44" s="79"/>
      <c r="I44" s="79"/>
      <c r="J44" s="78"/>
      <c r="K44" s="79"/>
      <c r="L44" s="78"/>
      <c r="M44" s="77"/>
    </row>
    <row r="45" spans="1:13" x14ac:dyDescent="0.3">
      <c r="A45" s="78"/>
      <c r="B45" s="77"/>
      <c r="C45" s="78"/>
      <c r="D45" s="78"/>
      <c r="E45" s="78"/>
      <c r="F45" s="79"/>
      <c r="G45" s="79"/>
      <c r="H45" s="79"/>
      <c r="I45" s="79"/>
      <c r="J45" s="78"/>
      <c r="K45" s="79"/>
      <c r="L45" s="78"/>
      <c r="M45" s="77"/>
    </row>
    <row r="46" spans="1:13" x14ac:dyDescent="0.3">
      <c r="A46" s="78"/>
      <c r="B46" s="77"/>
      <c r="C46" s="78"/>
      <c r="D46" s="78"/>
      <c r="E46" s="78"/>
      <c r="F46" s="79"/>
      <c r="G46" s="79"/>
      <c r="H46" s="79"/>
      <c r="I46" s="79"/>
      <c r="J46" s="78"/>
      <c r="K46" s="79"/>
      <c r="L46" s="78"/>
      <c r="M46" s="77"/>
    </row>
    <row r="47" spans="1:13" x14ac:dyDescent="0.3">
      <c r="A47" s="78"/>
      <c r="B47" s="77"/>
      <c r="C47" s="78"/>
      <c r="D47" s="78"/>
      <c r="E47" s="78"/>
      <c r="F47" s="79"/>
      <c r="G47" s="79"/>
      <c r="H47" s="79"/>
      <c r="I47" s="79"/>
      <c r="J47" s="78"/>
      <c r="K47" s="79"/>
      <c r="L47" s="78"/>
      <c r="M47" s="77"/>
    </row>
    <row r="48" spans="1:13" x14ac:dyDescent="0.3">
      <c r="A48" s="78"/>
      <c r="B48" s="77"/>
      <c r="C48" s="78"/>
      <c r="D48" s="78"/>
      <c r="E48" s="78"/>
      <c r="F48" s="79"/>
      <c r="G48" s="79"/>
      <c r="H48" s="79"/>
      <c r="I48" s="79"/>
      <c r="J48" s="78"/>
      <c r="K48" s="79"/>
      <c r="L48" s="78"/>
      <c r="M48" s="77"/>
    </row>
    <row r="49" spans="1:13" x14ac:dyDescent="0.3">
      <c r="A49" s="78"/>
      <c r="B49" s="77"/>
      <c r="C49" s="78"/>
      <c r="D49" s="78"/>
      <c r="E49" s="78"/>
      <c r="F49" s="79"/>
      <c r="G49" s="79"/>
      <c r="H49" s="79"/>
      <c r="I49" s="79"/>
      <c r="J49" s="78"/>
      <c r="K49" s="79"/>
      <c r="L49" s="78"/>
      <c r="M49" s="77"/>
    </row>
    <row r="50" spans="1:13" x14ac:dyDescent="0.3">
      <c r="A50" s="78"/>
      <c r="B50" s="77"/>
      <c r="C50" s="78"/>
      <c r="D50" s="78"/>
      <c r="E50" s="78"/>
      <c r="F50" s="79"/>
      <c r="G50" s="79"/>
      <c r="H50" s="79"/>
      <c r="I50" s="79"/>
      <c r="J50" s="78"/>
      <c r="K50" s="79"/>
      <c r="L50" s="78"/>
      <c r="M50" s="77"/>
    </row>
    <row r="51" spans="1:13" x14ac:dyDescent="0.3">
      <c r="A51" s="78"/>
      <c r="B51" s="77"/>
      <c r="C51" s="78"/>
      <c r="D51" s="78"/>
      <c r="E51" s="78"/>
      <c r="F51" s="79"/>
      <c r="G51" s="79"/>
      <c r="H51" s="79"/>
      <c r="I51" s="79"/>
      <c r="J51" s="78"/>
      <c r="K51" s="79"/>
      <c r="L51" s="78"/>
      <c r="M51" s="77"/>
    </row>
    <row r="52" spans="1:13" x14ac:dyDescent="0.3">
      <c r="A52" s="78"/>
      <c r="B52" s="77"/>
      <c r="C52" s="78"/>
      <c r="D52" s="78"/>
      <c r="E52" s="78"/>
      <c r="F52" s="79"/>
      <c r="G52" s="79"/>
      <c r="H52" s="79"/>
      <c r="I52" s="79"/>
      <c r="J52" s="78"/>
      <c r="K52" s="79"/>
      <c r="L52" s="78"/>
      <c r="M52" s="77"/>
    </row>
    <row r="53" spans="1:13" x14ac:dyDescent="0.3">
      <c r="A53" s="78"/>
      <c r="B53" s="77"/>
      <c r="C53" s="78"/>
      <c r="D53" s="78"/>
      <c r="E53" s="78"/>
      <c r="F53" s="79"/>
      <c r="G53" s="79"/>
      <c r="H53" s="79"/>
      <c r="I53" s="79"/>
      <c r="J53" s="78"/>
      <c r="K53" s="79"/>
      <c r="L53" s="78"/>
      <c r="M53" s="77"/>
    </row>
    <row r="54" spans="1:13" x14ac:dyDescent="0.3">
      <c r="A54" s="78"/>
      <c r="B54" s="77"/>
      <c r="C54" s="78"/>
      <c r="D54" s="78"/>
      <c r="E54" s="78"/>
      <c r="F54" s="79"/>
      <c r="G54" s="79"/>
      <c r="H54" s="79"/>
      <c r="I54" s="79"/>
      <c r="J54" s="78"/>
      <c r="K54" s="79"/>
      <c r="L54" s="78"/>
      <c r="M54" s="77"/>
    </row>
    <row r="55" spans="1:13" x14ac:dyDescent="0.3">
      <c r="A55" s="78"/>
      <c r="B55" s="77"/>
      <c r="C55" s="78"/>
      <c r="D55" s="78"/>
      <c r="E55" s="78"/>
      <c r="F55" s="79"/>
      <c r="G55" s="79"/>
      <c r="H55" s="79"/>
      <c r="I55" s="79"/>
      <c r="J55" s="78"/>
      <c r="K55" s="79"/>
      <c r="L55" s="78"/>
      <c r="M55" s="77"/>
    </row>
    <row r="56" spans="1:13" x14ac:dyDescent="0.3">
      <c r="A56" s="78"/>
      <c r="B56" s="77"/>
      <c r="C56" s="78"/>
      <c r="D56" s="78"/>
      <c r="E56" s="78"/>
      <c r="F56" s="79"/>
      <c r="G56" s="79"/>
      <c r="H56" s="79"/>
      <c r="I56" s="79"/>
      <c r="J56" s="78"/>
      <c r="K56" s="79"/>
      <c r="L56" s="78"/>
      <c r="M56" s="77"/>
    </row>
    <row r="57" spans="1:13" x14ac:dyDescent="0.3">
      <c r="A57" s="78"/>
      <c r="B57" s="77"/>
      <c r="C57" s="78"/>
      <c r="D57" s="78"/>
      <c r="E57" s="78"/>
      <c r="F57" s="79"/>
      <c r="G57" s="79"/>
      <c r="H57" s="79"/>
      <c r="I57" s="79"/>
      <c r="J57" s="78"/>
      <c r="K57" s="79"/>
      <c r="L57" s="78"/>
      <c r="M57" s="77"/>
    </row>
    <row r="58" spans="1:13" x14ac:dyDescent="0.3">
      <c r="A58" s="78"/>
      <c r="B58" s="77"/>
      <c r="C58" s="78"/>
      <c r="D58" s="78"/>
      <c r="E58" s="78"/>
      <c r="F58" s="79"/>
      <c r="G58" s="79"/>
      <c r="H58" s="79"/>
      <c r="I58" s="79"/>
      <c r="J58" s="78"/>
      <c r="K58" s="79"/>
      <c r="L58" s="78"/>
      <c r="M58" s="77"/>
    </row>
    <row r="59" spans="1:13" x14ac:dyDescent="0.3">
      <c r="A59" s="78"/>
      <c r="B59" s="77"/>
      <c r="C59" s="78"/>
      <c r="D59" s="78"/>
      <c r="E59" s="78"/>
      <c r="F59" s="79"/>
      <c r="G59" s="79"/>
      <c r="H59" s="79"/>
      <c r="I59" s="79"/>
      <c r="J59" s="78"/>
      <c r="K59" s="79"/>
      <c r="L59" s="78"/>
      <c r="M59" s="77"/>
    </row>
    <row r="60" spans="1:13" x14ac:dyDescent="0.3">
      <c r="A60" s="78"/>
      <c r="B60" s="77"/>
      <c r="C60" s="78"/>
      <c r="D60" s="78"/>
      <c r="E60" s="78"/>
      <c r="F60" s="79"/>
      <c r="G60" s="79"/>
      <c r="H60" s="79"/>
      <c r="I60" s="79"/>
      <c r="J60" s="78"/>
      <c r="K60" s="79"/>
      <c r="L60" s="78"/>
      <c r="M60" s="77"/>
    </row>
    <row r="61" spans="1:13" x14ac:dyDescent="0.3">
      <c r="A61" s="78"/>
      <c r="B61" s="77"/>
      <c r="C61" s="78"/>
      <c r="D61" s="78"/>
      <c r="E61" s="78"/>
      <c r="F61" s="79"/>
      <c r="G61" s="79"/>
      <c r="H61" s="79"/>
      <c r="I61" s="79"/>
      <c r="J61" s="78"/>
      <c r="K61" s="79"/>
      <c r="L61" s="78"/>
      <c r="M61" s="77"/>
    </row>
    <row r="62" spans="1:13" x14ac:dyDescent="0.3">
      <c r="A62" s="78"/>
      <c r="B62" s="77"/>
      <c r="C62" s="78"/>
      <c r="D62" s="78"/>
      <c r="E62" s="78"/>
      <c r="F62" s="79"/>
      <c r="G62" s="79"/>
      <c r="H62" s="79"/>
      <c r="I62" s="79"/>
      <c r="J62" s="78"/>
      <c r="K62" s="79"/>
      <c r="L62" s="78"/>
      <c r="M62" s="77"/>
    </row>
    <row r="63" spans="1:13" x14ac:dyDescent="0.3">
      <c r="A63" s="78"/>
      <c r="B63" s="77"/>
      <c r="C63" s="78"/>
      <c r="D63" s="78"/>
      <c r="E63" s="78"/>
      <c r="F63" s="79"/>
      <c r="G63" s="79"/>
      <c r="H63" s="79"/>
      <c r="I63" s="79"/>
      <c r="J63" s="78"/>
      <c r="K63" s="79"/>
      <c r="L63" s="78"/>
      <c r="M63" s="77"/>
    </row>
    <row r="64" spans="1:13" x14ac:dyDescent="0.3">
      <c r="A64" s="78"/>
      <c r="B64" s="77"/>
      <c r="C64" s="78"/>
      <c r="D64" s="78"/>
      <c r="E64" s="78"/>
      <c r="F64" s="79"/>
      <c r="G64" s="79"/>
      <c r="H64" s="79"/>
      <c r="I64" s="79"/>
      <c r="J64" s="78"/>
      <c r="K64" s="79"/>
      <c r="L64" s="78"/>
      <c r="M64" s="77"/>
    </row>
    <row r="65" spans="1:13" x14ac:dyDescent="0.3">
      <c r="A65" s="78"/>
      <c r="B65" s="77"/>
      <c r="C65" s="78"/>
      <c r="D65" s="78"/>
      <c r="E65" s="78"/>
      <c r="F65" s="79"/>
      <c r="G65" s="79"/>
      <c r="H65" s="79"/>
      <c r="I65" s="79"/>
      <c r="J65" s="78"/>
      <c r="K65" s="79"/>
      <c r="L65" s="78"/>
      <c r="M65" s="77"/>
    </row>
    <row r="66" spans="1:13" x14ac:dyDescent="0.3">
      <c r="A66" s="78"/>
      <c r="B66" s="77"/>
      <c r="C66" s="78"/>
      <c r="D66" s="78"/>
      <c r="E66" s="78"/>
      <c r="F66" s="79"/>
      <c r="G66" s="79"/>
      <c r="H66" s="79"/>
      <c r="I66" s="79"/>
      <c r="J66" s="78"/>
      <c r="K66" s="79"/>
      <c r="L66" s="78"/>
      <c r="M66" s="77"/>
    </row>
    <row r="67" spans="1:13" x14ac:dyDescent="0.3">
      <c r="A67" s="78"/>
      <c r="B67" s="77"/>
      <c r="C67" s="78"/>
      <c r="D67" s="78"/>
      <c r="E67" s="78"/>
      <c r="F67" s="79"/>
      <c r="G67" s="79"/>
      <c r="H67" s="79"/>
      <c r="I67" s="79"/>
      <c r="J67" s="78"/>
      <c r="K67" s="79"/>
      <c r="L67" s="78"/>
      <c r="M67" s="77"/>
    </row>
    <row r="68" spans="1:13" x14ac:dyDescent="0.3">
      <c r="A68" s="78"/>
      <c r="B68" s="77"/>
      <c r="C68" s="78"/>
      <c r="D68" s="78"/>
      <c r="E68" s="78"/>
      <c r="F68" s="79"/>
      <c r="G68" s="79"/>
      <c r="H68" s="79"/>
      <c r="I68" s="79"/>
      <c r="J68" s="78"/>
      <c r="K68" s="79"/>
      <c r="L68" s="78"/>
      <c r="M68" s="77"/>
    </row>
    <row r="69" spans="1:13" x14ac:dyDescent="0.3">
      <c r="A69" s="78"/>
      <c r="B69" s="77"/>
      <c r="C69" s="78"/>
      <c r="D69" s="78"/>
      <c r="E69" s="78"/>
      <c r="F69" s="79"/>
      <c r="G69" s="79"/>
      <c r="H69" s="79"/>
      <c r="I69" s="79"/>
      <c r="J69" s="78"/>
      <c r="K69" s="79"/>
      <c r="L69" s="78"/>
      <c r="M69" s="77"/>
    </row>
    <row r="70" spans="1:13" x14ac:dyDescent="0.3">
      <c r="A70" s="78"/>
      <c r="B70" s="77"/>
      <c r="C70" s="78"/>
      <c r="D70" s="78"/>
      <c r="E70" s="78"/>
      <c r="F70" s="79"/>
      <c r="G70" s="79"/>
      <c r="H70" s="79"/>
      <c r="I70" s="79"/>
      <c r="J70" s="78"/>
      <c r="K70" s="79"/>
      <c r="L70" s="78"/>
      <c r="M70" s="77"/>
    </row>
    <row r="71" spans="1:13" x14ac:dyDescent="0.3">
      <c r="A71" s="78"/>
      <c r="B71" s="77"/>
      <c r="C71" s="78"/>
      <c r="D71" s="78"/>
      <c r="E71" s="78"/>
      <c r="F71" s="79"/>
      <c r="G71" s="79"/>
      <c r="H71" s="79"/>
      <c r="I71" s="79"/>
      <c r="J71" s="78"/>
      <c r="K71" s="79"/>
      <c r="L71" s="78"/>
      <c r="M71" s="77"/>
    </row>
    <row r="72" spans="1:13" x14ac:dyDescent="0.3">
      <c r="A72" s="78"/>
      <c r="B72" s="77"/>
      <c r="C72" s="78"/>
      <c r="D72" s="78"/>
      <c r="E72" s="78"/>
      <c r="F72" s="79"/>
      <c r="G72" s="79"/>
      <c r="H72" s="79"/>
      <c r="I72" s="79"/>
      <c r="J72" s="78"/>
      <c r="K72" s="79"/>
      <c r="L72" s="78"/>
      <c r="M72" s="77"/>
    </row>
    <row r="73" spans="1:13" x14ac:dyDescent="0.3">
      <c r="A73" s="78"/>
      <c r="B73" s="77"/>
      <c r="C73" s="78"/>
      <c r="D73" s="78"/>
      <c r="E73" s="78"/>
      <c r="F73" s="79"/>
      <c r="G73" s="79"/>
      <c r="H73" s="79"/>
      <c r="I73" s="79"/>
      <c r="J73" s="78"/>
      <c r="K73" s="79"/>
      <c r="L73" s="78"/>
      <c r="M73" s="77"/>
    </row>
    <row r="74" spans="1:13" x14ac:dyDescent="0.3">
      <c r="A74" s="78"/>
      <c r="B74" s="77"/>
      <c r="C74" s="78"/>
      <c r="D74" s="78"/>
      <c r="E74" s="78"/>
      <c r="F74" s="79"/>
      <c r="G74" s="79"/>
      <c r="H74" s="79"/>
      <c r="I74" s="79"/>
      <c r="J74" s="78"/>
      <c r="K74" s="79"/>
      <c r="L74" s="78"/>
      <c r="M74" s="77"/>
    </row>
    <row r="75" spans="1:13" x14ac:dyDescent="0.3">
      <c r="A75" s="78"/>
      <c r="B75" s="77"/>
      <c r="C75" s="78"/>
      <c r="D75" s="78"/>
      <c r="E75" s="78"/>
      <c r="F75" s="79"/>
      <c r="G75" s="79"/>
      <c r="H75" s="79"/>
      <c r="I75" s="79"/>
      <c r="J75" s="78"/>
      <c r="K75" s="79"/>
      <c r="L75" s="78"/>
      <c r="M75" s="77"/>
    </row>
    <row r="76" spans="1:13" x14ac:dyDescent="0.3">
      <c r="A76" s="78"/>
      <c r="B76" s="77"/>
      <c r="C76" s="78"/>
      <c r="D76" s="78"/>
      <c r="E76" s="78"/>
      <c r="F76" s="79"/>
      <c r="G76" s="79"/>
      <c r="H76" s="79"/>
      <c r="I76" s="79"/>
      <c r="J76" s="78"/>
      <c r="K76" s="79"/>
      <c r="L76" s="78"/>
      <c r="M76" s="77"/>
    </row>
    <row r="77" spans="1:13" x14ac:dyDescent="0.3">
      <c r="A77" s="78"/>
      <c r="B77" s="77"/>
      <c r="C77" s="78"/>
      <c r="D77" s="78"/>
      <c r="E77" s="78"/>
      <c r="F77" s="79"/>
      <c r="G77" s="79"/>
      <c r="H77" s="79"/>
      <c r="I77" s="79"/>
      <c r="J77" s="78"/>
      <c r="K77" s="79"/>
      <c r="L77" s="78"/>
      <c r="M77" s="77"/>
    </row>
    <row r="78" spans="1:13" x14ac:dyDescent="0.3">
      <c r="A78" s="78"/>
      <c r="B78" s="77"/>
      <c r="C78" s="78"/>
      <c r="D78" s="78"/>
      <c r="E78" s="78"/>
      <c r="F78" s="79"/>
      <c r="G78" s="79"/>
      <c r="H78" s="79"/>
      <c r="I78" s="79"/>
      <c r="J78" s="78"/>
      <c r="K78" s="79"/>
      <c r="L78" s="78"/>
      <c r="M78" s="77"/>
    </row>
    <row r="79" spans="1:13" x14ac:dyDescent="0.3">
      <c r="A79" s="78"/>
      <c r="B79" s="77"/>
      <c r="C79" s="78"/>
      <c r="D79" s="78"/>
      <c r="E79" s="78"/>
      <c r="F79" s="79"/>
      <c r="G79" s="79"/>
      <c r="H79" s="79"/>
      <c r="I79" s="79"/>
      <c r="J79" s="78"/>
      <c r="K79" s="79"/>
      <c r="L79" s="78"/>
      <c r="M79" s="77"/>
    </row>
    <row r="80" spans="1:13" x14ac:dyDescent="0.3">
      <c r="A80" s="78"/>
      <c r="B80" s="77"/>
      <c r="C80" s="78"/>
      <c r="D80" s="78"/>
      <c r="E80" s="78"/>
      <c r="F80" s="79"/>
      <c r="G80" s="79"/>
      <c r="H80" s="79"/>
      <c r="I80" s="79"/>
      <c r="J80" s="78"/>
      <c r="K80" s="79"/>
      <c r="L80" s="78"/>
      <c r="M80" s="77"/>
    </row>
    <row r="81" spans="1:13" x14ac:dyDescent="0.3">
      <c r="A81" s="78"/>
      <c r="B81" s="77"/>
      <c r="C81" s="78"/>
      <c r="D81" s="78"/>
      <c r="E81" s="78"/>
      <c r="F81" s="79"/>
      <c r="G81" s="79"/>
      <c r="H81" s="79"/>
      <c r="I81" s="79"/>
      <c r="J81" s="78"/>
      <c r="K81" s="79"/>
      <c r="L81" s="78"/>
      <c r="M81" s="77"/>
    </row>
    <row r="82" spans="1:13" x14ac:dyDescent="0.3">
      <c r="A82" s="78"/>
      <c r="B82" s="77"/>
      <c r="C82" s="78"/>
      <c r="D82" s="78"/>
      <c r="E82" s="78"/>
      <c r="F82" s="79"/>
      <c r="G82" s="79"/>
      <c r="H82" s="79"/>
      <c r="I82" s="79"/>
      <c r="J82" s="78"/>
      <c r="K82" s="79"/>
      <c r="L82" s="78"/>
      <c r="M82" s="77"/>
    </row>
    <row r="83" spans="1:13" x14ac:dyDescent="0.3">
      <c r="A83" s="78"/>
      <c r="B83" s="77"/>
      <c r="C83" s="78"/>
      <c r="D83" s="78"/>
      <c r="E83" s="78"/>
      <c r="F83" s="79"/>
      <c r="G83" s="79"/>
      <c r="H83" s="79"/>
      <c r="I83" s="79"/>
      <c r="J83" s="78"/>
      <c r="K83" s="79"/>
      <c r="L83" s="78"/>
      <c r="M83" s="77"/>
    </row>
    <row r="84" spans="1:13" x14ac:dyDescent="0.3">
      <c r="A84" s="78"/>
      <c r="B84" s="77"/>
      <c r="C84" s="78"/>
      <c r="D84" s="78"/>
      <c r="E84" s="78"/>
      <c r="F84" s="79"/>
      <c r="G84" s="79"/>
      <c r="H84" s="79"/>
      <c r="I84" s="79"/>
      <c r="J84" s="78"/>
      <c r="K84" s="79"/>
      <c r="L84" s="78"/>
      <c r="M84" s="77"/>
    </row>
    <row r="85" spans="1:13" x14ac:dyDescent="0.3">
      <c r="A85" s="78"/>
      <c r="B85" s="77"/>
      <c r="C85" s="78"/>
      <c r="D85" s="78"/>
      <c r="E85" s="78"/>
      <c r="F85" s="79"/>
      <c r="G85" s="79"/>
      <c r="H85" s="79"/>
      <c r="I85" s="79"/>
      <c r="J85" s="78"/>
      <c r="K85" s="79"/>
      <c r="L85" s="78"/>
      <c r="M85" s="77"/>
    </row>
    <row r="86" spans="1:13" x14ac:dyDescent="0.3">
      <c r="A86" s="78"/>
      <c r="B86" s="77"/>
      <c r="C86" s="78"/>
      <c r="D86" s="78"/>
      <c r="E86" s="78"/>
      <c r="F86" s="79"/>
      <c r="G86" s="79"/>
      <c r="H86" s="79"/>
      <c r="I86" s="79"/>
      <c r="J86" s="78"/>
      <c r="K86" s="79"/>
      <c r="L86" s="78"/>
      <c r="M86" s="77"/>
    </row>
    <row r="87" spans="1:13" x14ac:dyDescent="0.3">
      <c r="A87" s="78"/>
      <c r="B87" s="77"/>
      <c r="C87" s="78"/>
      <c r="D87" s="78"/>
      <c r="E87" s="78"/>
      <c r="F87" s="79"/>
      <c r="G87" s="79"/>
      <c r="H87" s="79"/>
      <c r="I87" s="79"/>
      <c r="J87" s="78"/>
      <c r="K87" s="79"/>
      <c r="L87" s="78"/>
      <c r="M87" s="77"/>
    </row>
    <row r="88" spans="1:13" x14ac:dyDescent="0.3">
      <c r="A88" s="78"/>
      <c r="B88" s="77"/>
      <c r="C88" s="78"/>
      <c r="D88" s="78"/>
      <c r="E88" s="78"/>
      <c r="F88" s="79"/>
      <c r="G88" s="79"/>
      <c r="H88" s="79"/>
      <c r="I88" s="79"/>
      <c r="J88" s="78"/>
      <c r="K88" s="79"/>
      <c r="L88" s="78"/>
      <c r="M88" s="77"/>
    </row>
    <row r="89" spans="1:13" x14ac:dyDescent="0.3">
      <c r="A89" s="78"/>
      <c r="B89" s="77"/>
      <c r="C89" s="78"/>
      <c r="D89" s="78"/>
      <c r="E89" s="78"/>
      <c r="F89" s="79"/>
      <c r="G89" s="79"/>
      <c r="H89" s="79"/>
      <c r="I89" s="79"/>
      <c r="J89" s="78"/>
      <c r="K89" s="79"/>
      <c r="L89" s="78"/>
      <c r="M89" s="77"/>
    </row>
    <row r="90" spans="1:13" x14ac:dyDescent="0.3">
      <c r="A90" s="78"/>
      <c r="B90" s="77"/>
      <c r="C90" s="78"/>
      <c r="D90" s="78"/>
      <c r="E90" s="78"/>
      <c r="F90" s="79"/>
      <c r="G90" s="79"/>
      <c r="H90" s="79"/>
      <c r="I90" s="79"/>
      <c r="J90" s="78"/>
      <c r="K90" s="79"/>
      <c r="L90" s="78"/>
      <c r="M90" s="77"/>
    </row>
    <row r="91" spans="1:13" x14ac:dyDescent="0.3">
      <c r="A91" s="78"/>
      <c r="B91" s="77"/>
      <c r="C91" s="78"/>
      <c r="D91" s="78"/>
      <c r="E91" s="78"/>
      <c r="F91" s="79"/>
      <c r="G91" s="79"/>
      <c r="H91" s="79"/>
      <c r="I91" s="79"/>
      <c r="J91" s="78"/>
      <c r="K91" s="79"/>
      <c r="L91" s="78"/>
      <c r="M91" s="77"/>
    </row>
    <row r="92" spans="1:13" x14ac:dyDescent="0.3">
      <c r="A92" s="78"/>
      <c r="B92" s="77"/>
      <c r="C92" s="78"/>
      <c r="D92" s="78"/>
      <c r="E92" s="78"/>
      <c r="F92" s="79"/>
      <c r="G92" s="79"/>
      <c r="H92" s="79"/>
      <c r="I92" s="79"/>
      <c r="J92" s="78"/>
      <c r="K92" s="79"/>
      <c r="L92" s="78"/>
      <c r="M92" s="77"/>
    </row>
    <row r="93" spans="1:13" x14ac:dyDescent="0.3">
      <c r="A93" s="78"/>
      <c r="B93" s="77"/>
      <c r="C93" s="78"/>
      <c r="D93" s="78"/>
      <c r="E93" s="78"/>
      <c r="F93" s="79"/>
      <c r="G93" s="79"/>
      <c r="H93" s="79"/>
      <c r="I93" s="79"/>
      <c r="J93" s="78"/>
      <c r="K93" s="79"/>
      <c r="L93" s="78"/>
      <c r="M93" s="77"/>
    </row>
    <row r="94" spans="1:13" x14ac:dyDescent="0.3">
      <c r="A94" s="78"/>
      <c r="B94" s="77"/>
      <c r="C94" s="78"/>
      <c r="D94" s="78"/>
      <c r="E94" s="78"/>
      <c r="F94" s="79"/>
      <c r="G94" s="79"/>
      <c r="H94" s="79"/>
      <c r="I94" s="79"/>
      <c r="J94" s="78"/>
      <c r="K94" s="79"/>
      <c r="L94" s="78"/>
      <c r="M94" s="77"/>
    </row>
    <row r="95" spans="1:13" x14ac:dyDescent="0.3">
      <c r="A95" s="78"/>
      <c r="B95" s="77"/>
      <c r="C95" s="78"/>
      <c r="D95" s="78"/>
      <c r="E95" s="78"/>
      <c r="F95" s="79"/>
      <c r="G95" s="79"/>
      <c r="H95" s="79"/>
      <c r="I95" s="79"/>
      <c r="J95" s="78"/>
      <c r="K95" s="79"/>
      <c r="L95" s="78"/>
      <c r="M95" s="77"/>
    </row>
    <row r="96" spans="1:13" x14ac:dyDescent="0.3">
      <c r="A96" s="78"/>
      <c r="B96" s="77"/>
      <c r="C96" s="78"/>
      <c r="D96" s="78"/>
      <c r="E96" s="78"/>
      <c r="F96" s="79"/>
      <c r="G96" s="79"/>
      <c r="H96" s="79"/>
      <c r="I96" s="79"/>
      <c r="J96" s="78"/>
      <c r="K96" s="79"/>
      <c r="L96" s="78"/>
      <c r="M96" s="77"/>
    </row>
    <row r="97" spans="1:13" x14ac:dyDescent="0.3">
      <c r="A97" s="78"/>
      <c r="B97" s="77"/>
      <c r="C97" s="78"/>
      <c r="D97" s="78"/>
      <c r="E97" s="78"/>
      <c r="F97" s="79"/>
      <c r="G97" s="79"/>
      <c r="H97" s="79"/>
      <c r="I97" s="79"/>
      <c r="J97" s="78"/>
      <c r="K97" s="79"/>
      <c r="L97" s="78"/>
      <c r="M97" s="77"/>
    </row>
    <row r="98" spans="1:13" x14ac:dyDescent="0.3">
      <c r="A98" s="78"/>
      <c r="B98" s="77"/>
      <c r="C98" s="78"/>
      <c r="D98" s="78"/>
      <c r="E98" s="78"/>
      <c r="F98" s="79"/>
      <c r="G98" s="79"/>
      <c r="H98" s="79"/>
      <c r="I98" s="79"/>
      <c r="J98" s="78"/>
      <c r="K98" s="79"/>
      <c r="L98" s="78"/>
      <c r="M98" s="77"/>
    </row>
    <row r="99" spans="1:13" x14ac:dyDescent="0.3">
      <c r="A99" s="78"/>
      <c r="B99" s="77"/>
      <c r="C99" s="78"/>
      <c r="D99" s="78"/>
      <c r="E99" s="78"/>
      <c r="F99" s="79"/>
      <c r="G99" s="79"/>
      <c r="H99" s="79"/>
      <c r="I99" s="79"/>
      <c r="J99" s="78"/>
      <c r="K99" s="79"/>
      <c r="L99" s="78"/>
      <c r="M99" s="77"/>
    </row>
    <row r="100" spans="1:13" x14ac:dyDescent="0.3">
      <c r="A100" s="78"/>
      <c r="B100" s="77"/>
      <c r="C100" s="78"/>
      <c r="D100" s="78"/>
      <c r="E100" s="78"/>
      <c r="F100" s="79"/>
      <c r="G100" s="79"/>
      <c r="H100" s="79"/>
      <c r="I100" s="79"/>
      <c r="J100" s="78"/>
      <c r="K100" s="79"/>
      <c r="L100" s="78"/>
      <c r="M100" s="77"/>
    </row>
    <row r="101" spans="1:13" x14ac:dyDescent="0.3">
      <c r="A101" s="78"/>
      <c r="B101" s="77"/>
      <c r="C101" s="78"/>
      <c r="D101" s="78"/>
      <c r="E101" s="78"/>
      <c r="F101" s="79"/>
      <c r="G101" s="79"/>
      <c r="H101" s="79"/>
      <c r="I101" s="79"/>
      <c r="J101" s="78"/>
      <c r="K101" s="79"/>
      <c r="L101" s="78"/>
      <c r="M101" s="77"/>
    </row>
    <row r="102" spans="1:13" x14ac:dyDescent="0.3">
      <c r="A102" s="78"/>
      <c r="B102" s="77"/>
      <c r="C102" s="78"/>
      <c r="D102" s="78"/>
      <c r="E102" s="78"/>
      <c r="F102" s="79"/>
      <c r="G102" s="79"/>
      <c r="H102" s="79"/>
      <c r="I102" s="79"/>
      <c r="J102" s="78"/>
      <c r="K102" s="79"/>
      <c r="L102" s="78"/>
      <c r="M102" s="77"/>
    </row>
    <row r="103" spans="1:13" x14ac:dyDescent="0.3">
      <c r="A103" s="78"/>
      <c r="B103" s="77"/>
      <c r="C103" s="78"/>
      <c r="D103" s="78"/>
      <c r="E103" s="78"/>
      <c r="F103" s="79"/>
      <c r="G103" s="79"/>
      <c r="H103" s="79"/>
      <c r="I103" s="79"/>
      <c r="J103" s="78"/>
      <c r="K103" s="79"/>
      <c r="L103" s="78"/>
      <c r="M103" s="77"/>
    </row>
    <row r="104" spans="1:13" x14ac:dyDescent="0.3">
      <c r="A104" s="78"/>
      <c r="B104" s="77"/>
      <c r="C104" s="78"/>
      <c r="D104" s="78"/>
      <c r="E104" s="78"/>
      <c r="F104" s="79"/>
      <c r="G104" s="79"/>
      <c r="H104" s="79"/>
      <c r="I104" s="79"/>
      <c r="J104" s="78"/>
      <c r="K104" s="79"/>
      <c r="L104" s="78"/>
      <c r="M104" s="77"/>
    </row>
    <row r="105" spans="1:13" x14ac:dyDescent="0.3">
      <c r="A105" s="78"/>
      <c r="B105" s="77"/>
      <c r="C105" s="78"/>
      <c r="D105" s="78"/>
      <c r="E105" s="78"/>
      <c r="F105" s="79"/>
      <c r="G105" s="79"/>
      <c r="H105" s="79"/>
      <c r="I105" s="79"/>
      <c r="J105" s="78"/>
      <c r="K105" s="79"/>
      <c r="L105" s="78"/>
      <c r="M105" s="77"/>
    </row>
  </sheetData>
  <conditionalFormatting sqref="C5:C105">
    <cfRule type="cellIs" dxfId="1" priority="1" operator="equal">
      <formula>"Critical"</formula>
    </cfRule>
    <cfRule type="cellIs" dxfId="0" priority="2" operator="equal">
      <formula>"Major"</formula>
    </cfRule>
  </conditionalFormatting>
  <pageMargins left="0.75" right="0.75" top="1" bottom="1" header="0.5" footer="0.5"/>
  <headerFooter>
    <oddHeader>&amp;R&amp;"Aptos"&amp;10&amp;K000000 Classification: Confidential&amp;1#_x000D_</oddHeader>
  </headerFooter>
  <extLst>
    <ext xmlns:x14="http://schemas.microsoft.com/office/spreadsheetml/2009/9/main" uri="{CCE6A557-97BC-4b89-ADB6-D9C93CAAB3DF}">
      <x14:dataValidations xmlns:xm="http://schemas.microsoft.com/office/excel/2006/main" count="2">
        <x14:dataValidation type="list" allowBlank="1" errorTitle="Not in list" error="Pick a value from the list." xr:uid="{00000000-0002-0000-0B00-000000000000}">
          <x14:formula1>
            <xm:f>Lists!$G$5:$G$8</xm:f>
          </x14:formula1>
          <xm:sqref>C5:C105</xm:sqref>
        </x14:dataValidation>
        <x14:dataValidation type="list" allowBlank="1" errorTitle="Not in list" error="Pick a value from the list." xr:uid="{00000000-0002-0000-0B00-000001000000}">
          <x14:formula1>
            <xm:f>Lists!$J$5:$J$9</xm:f>
          </x14:formula1>
          <xm:sqref>L5:L105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E39"/>
  <sheetViews>
    <sheetView workbookViewId="0">
      <pane xSplit="1" ySplit="4" topLeftCell="B5" activePane="bottomRight" state="frozen"/>
      <selection pane="topRight"/>
      <selection pane="bottomLeft"/>
      <selection pane="bottomRight"/>
    </sheetView>
  </sheetViews>
  <sheetFormatPr defaultRowHeight="14.4" x14ac:dyDescent="0.3"/>
  <cols>
    <col min="1" max="1" width="8" customWidth="1"/>
    <col min="2" max="2" width="46" customWidth="1"/>
    <col min="3" max="3" width="78" customWidth="1"/>
    <col min="4" max="4" width="13" customWidth="1"/>
    <col min="5" max="5" width="34" customWidth="1"/>
  </cols>
  <sheetData>
    <row r="1" spans="1:5" ht="17.399999999999999" x14ac:dyDescent="0.3">
      <c r="A1" s="1" t="s">
        <v>875</v>
      </c>
    </row>
    <row r="2" spans="1:5" x14ac:dyDescent="0.3">
      <c r="A2" s="2" t="s">
        <v>876</v>
      </c>
    </row>
    <row r="4" spans="1:5" ht="30" customHeight="1" x14ac:dyDescent="0.3">
      <c r="A4" s="28" t="s">
        <v>799</v>
      </c>
      <c r="B4" s="28" t="s">
        <v>877</v>
      </c>
      <c r="C4" s="28" t="s">
        <v>878</v>
      </c>
      <c r="D4" s="28" t="s">
        <v>879</v>
      </c>
      <c r="E4" s="28" t="s">
        <v>880</v>
      </c>
    </row>
    <row r="5" spans="1:5" ht="42" customHeight="1" x14ac:dyDescent="0.3">
      <c r="A5" s="87" t="s">
        <v>881</v>
      </c>
      <c r="B5" s="88" t="s">
        <v>882</v>
      </c>
      <c r="C5" s="88" t="s">
        <v>883</v>
      </c>
      <c r="D5" s="89"/>
      <c r="E5" s="88" t="s">
        <v>884</v>
      </c>
    </row>
    <row r="6" spans="1:5" ht="42" customHeight="1" x14ac:dyDescent="0.3">
      <c r="A6" s="87" t="s">
        <v>885</v>
      </c>
      <c r="B6" s="88" t="s">
        <v>886</v>
      </c>
      <c r="C6" s="88" t="s">
        <v>887</v>
      </c>
      <c r="D6" s="89"/>
      <c r="E6" s="88" t="s">
        <v>888</v>
      </c>
    </row>
    <row r="7" spans="1:5" ht="42" customHeight="1" x14ac:dyDescent="0.3">
      <c r="A7" s="87" t="s">
        <v>889</v>
      </c>
      <c r="B7" s="88" t="s">
        <v>890</v>
      </c>
      <c r="C7" s="88" t="s">
        <v>891</v>
      </c>
      <c r="D7" s="89"/>
      <c r="E7" s="88" t="s">
        <v>892</v>
      </c>
    </row>
    <row r="8" spans="1:5" ht="42" customHeight="1" x14ac:dyDescent="0.3">
      <c r="A8" s="87" t="s">
        <v>893</v>
      </c>
      <c r="B8" s="88" t="s">
        <v>894</v>
      </c>
      <c r="C8" s="88" t="s">
        <v>895</v>
      </c>
      <c r="D8" s="89"/>
      <c r="E8" s="88" t="s">
        <v>896</v>
      </c>
    </row>
    <row r="9" spans="1:5" ht="42" customHeight="1" x14ac:dyDescent="0.3">
      <c r="A9" s="87" t="s">
        <v>897</v>
      </c>
      <c r="B9" s="88" t="s">
        <v>898</v>
      </c>
      <c r="C9" s="88" t="s">
        <v>899</v>
      </c>
      <c r="D9" s="89"/>
      <c r="E9" s="88" t="s">
        <v>900</v>
      </c>
    </row>
    <row r="10" spans="1:5" ht="42" customHeight="1" x14ac:dyDescent="0.3">
      <c r="A10" s="87" t="s">
        <v>901</v>
      </c>
      <c r="B10" s="88" t="s">
        <v>902</v>
      </c>
      <c r="C10" s="88" t="s">
        <v>903</v>
      </c>
      <c r="D10" s="89"/>
      <c r="E10" s="88" t="s">
        <v>904</v>
      </c>
    </row>
    <row r="11" spans="1:5" ht="42" customHeight="1" x14ac:dyDescent="0.3">
      <c r="A11" s="87" t="s">
        <v>905</v>
      </c>
      <c r="B11" s="88" t="s">
        <v>906</v>
      </c>
      <c r="C11" s="88" t="s">
        <v>907</v>
      </c>
      <c r="D11" s="89"/>
      <c r="E11" s="88" t="s">
        <v>908</v>
      </c>
    </row>
    <row r="12" spans="1:5" ht="42" customHeight="1" x14ac:dyDescent="0.3">
      <c r="A12" s="87" t="s">
        <v>909</v>
      </c>
      <c r="B12" s="88" t="s">
        <v>910</v>
      </c>
      <c r="C12" s="88" t="s">
        <v>911</v>
      </c>
      <c r="D12" s="89"/>
      <c r="E12" s="88" t="s">
        <v>912</v>
      </c>
    </row>
    <row r="13" spans="1:5" ht="42" customHeight="1" x14ac:dyDescent="0.3">
      <c r="A13" s="87" t="s">
        <v>913</v>
      </c>
      <c r="B13" s="88" t="s">
        <v>914</v>
      </c>
      <c r="C13" s="88" t="s">
        <v>915</v>
      </c>
      <c r="D13" s="89"/>
      <c r="E13" s="88" t="s">
        <v>916</v>
      </c>
    </row>
    <row r="14" spans="1:5" ht="42" customHeight="1" x14ac:dyDescent="0.3">
      <c r="A14" s="87" t="s">
        <v>917</v>
      </c>
      <c r="B14" s="88" t="s">
        <v>918</v>
      </c>
      <c r="C14" s="88" t="s">
        <v>919</v>
      </c>
      <c r="D14" s="89"/>
      <c r="E14" s="88" t="s">
        <v>920</v>
      </c>
    </row>
    <row r="15" spans="1:5" x14ac:dyDescent="0.3">
      <c r="A15" s="90"/>
      <c r="B15" s="91"/>
      <c r="C15" s="91"/>
      <c r="D15" s="90"/>
      <c r="E15" s="91"/>
    </row>
    <row r="16" spans="1:5" x14ac:dyDescent="0.3">
      <c r="A16" s="90"/>
      <c r="B16" s="91"/>
      <c r="C16" s="91"/>
      <c r="D16" s="90"/>
      <c r="E16" s="91"/>
    </row>
    <row r="17" spans="1:5" x14ac:dyDescent="0.3">
      <c r="A17" s="90"/>
      <c r="B17" s="91"/>
      <c r="C17" s="91"/>
      <c r="D17" s="90"/>
      <c r="E17" s="91"/>
    </row>
    <row r="18" spans="1:5" x14ac:dyDescent="0.3">
      <c r="A18" s="90"/>
      <c r="B18" s="91"/>
      <c r="C18" s="91"/>
      <c r="D18" s="90"/>
      <c r="E18" s="91"/>
    </row>
    <row r="19" spans="1:5" x14ac:dyDescent="0.3">
      <c r="A19" s="90"/>
      <c r="B19" s="91"/>
      <c r="C19" s="91"/>
      <c r="D19" s="90"/>
      <c r="E19" s="91"/>
    </row>
    <row r="20" spans="1:5" x14ac:dyDescent="0.3">
      <c r="A20" s="90"/>
      <c r="B20" s="91"/>
      <c r="C20" s="91"/>
      <c r="D20" s="90"/>
      <c r="E20" s="91"/>
    </row>
    <row r="21" spans="1:5" x14ac:dyDescent="0.3">
      <c r="A21" s="90"/>
      <c r="B21" s="91"/>
      <c r="C21" s="91"/>
      <c r="D21" s="90"/>
      <c r="E21" s="91"/>
    </row>
    <row r="22" spans="1:5" x14ac:dyDescent="0.3">
      <c r="A22" s="90"/>
      <c r="B22" s="91"/>
      <c r="C22" s="91"/>
      <c r="D22" s="90"/>
      <c r="E22" s="91"/>
    </row>
    <row r="23" spans="1:5" x14ac:dyDescent="0.3">
      <c r="A23" s="90"/>
      <c r="B23" s="91"/>
      <c r="C23" s="91"/>
      <c r="D23" s="90"/>
      <c r="E23" s="91"/>
    </row>
    <row r="24" spans="1:5" x14ac:dyDescent="0.3">
      <c r="A24" s="90"/>
      <c r="B24" s="91"/>
      <c r="C24" s="91"/>
      <c r="D24" s="90"/>
      <c r="E24" s="91"/>
    </row>
    <row r="25" spans="1:5" x14ac:dyDescent="0.3">
      <c r="A25" s="90"/>
      <c r="B25" s="91"/>
      <c r="C25" s="91"/>
      <c r="D25" s="90"/>
      <c r="E25" s="91"/>
    </row>
    <row r="26" spans="1:5" x14ac:dyDescent="0.3">
      <c r="A26" s="90"/>
      <c r="B26" s="91"/>
      <c r="C26" s="91"/>
      <c r="D26" s="90"/>
      <c r="E26" s="91"/>
    </row>
    <row r="27" spans="1:5" x14ac:dyDescent="0.3">
      <c r="A27" s="90"/>
      <c r="B27" s="91"/>
      <c r="C27" s="91"/>
      <c r="D27" s="90"/>
      <c r="E27" s="91"/>
    </row>
    <row r="28" spans="1:5" x14ac:dyDescent="0.3">
      <c r="A28" s="90"/>
      <c r="B28" s="91"/>
      <c r="C28" s="91"/>
      <c r="D28" s="90"/>
      <c r="E28" s="91"/>
    </row>
    <row r="29" spans="1:5" x14ac:dyDescent="0.3">
      <c r="A29" s="90"/>
      <c r="B29" s="91"/>
      <c r="C29" s="91"/>
      <c r="D29" s="90"/>
      <c r="E29" s="91"/>
    </row>
    <row r="30" spans="1:5" x14ac:dyDescent="0.3">
      <c r="A30" s="90"/>
      <c r="B30" s="91"/>
      <c r="C30" s="91"/>
      <c r="D30" s="90"/>
      <c r="E30" s="91"/>
    </row>
    <row r="31" spans="1:5" x14ac:dyDescent="0.3">
      <c r="A31" s="90"/>
      <c r="B31" s="91"/>
      <c r="C31" s="91"/>
      <c r="D31" s="90"/>
      <c r="E31" s="91"/>
    </row>
    <row r="32" spans="1:5" x14ac:dyDescent="0.3">
      <c r="A32" s="90"/>
      <c r="B32" s="91"/>
      <c r="C32" s="91"/>
      <c r="D32" s="90"/>
      <c r="E32" s="91"/>
    </row>
    <row r="33" spans="1:5" x14ac:dyDescent="0.3">
      <c r="A33" s="90"/>
      <c r="B33" s="91"/>
      <c r="C33" s="91"/>
      <c r="D33" s="90"/>
      <c r="E33" s="91"/>
    </row>
    <row r="34" spans="1:5" x14ac:dyDescent="0.3">
      <c r="A34" s="90"/>
      <c r="B34" s="91"/>
      <c r="C34" s="91"/>
      <c r="D34" s="90"/>
      <c r="E34" s="91"/>
    </row>
    <row r="35" spans="1:5" x14ac:dyDescent="0.3">
      <c r="A35" s="90"/>
      <c r="B35" s="91"/>
      <c r="C35" s="91"/>
      <c r="D35" s="90"/>
      <c r="E35" s="91"/>
    </row>
    <row r="36" spans="1:5" x14ac:dyDescent="0.3">
      <c r="A36" s="90"/>
      <c r="B36" s="91"/>
      <c r="C36" s="91"/>
      <c r="D36" s="90"/>
      <c r="E36" s="91"/>
    </row>
    <row r="37" spans="1:5" x14ac:dyDescent="0.3">
      <c r="A37" s="90"/>
      <c r="B37" s="91"/>
      <c r="C37" s="91"/>
      <c r="D37" s="90"/>
      <c r="E37" s="91"/>
    </row>
    <row r="38" spans="1:5" x14ac:dyDescent="0.3">
      <c r="A38" s="90"/>
      <c r="B38" s="91"/>
      <c r="C38" s="91"/>
      <c r="D38" s="90"/>
      <c r="E38" s="91"/>
    </row>
    <row r="39" spans="1:5" x14ac:dyDescent="0.3">
      <c r="A39" s="90"/>
      <c r="B39" s="91"/>
      <c r="C39" s="91"/>
      <c r="D39" s="90"/>
      <c r="E39" s="91"/>
    </row>
  </sheetData>
  <pageMargins left="0.75" right="0.75" top="1" bottom="1" header="0.5" footer="0.5"/>
  <headerFooter>
    <oddHeader>&amp;R&amp;"Aptos"&amp;10&amp;K000000 Classification: Confidential&amp;1#_x000D_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6A6A6"/>
  </sheetPr>
  <dimension ref="A1:N16"/>
  <sheetViews>
    <sheetView workbookViewId="0"/>
  </sheetViews>
  <sheetFormatPr defaultRowHeight="14.4" x14ac:dyDescent="0.3"/>
  <cols>
    <col min="1" max="14" width="22" customWidth="1"/>
  </cols>
  <sheetData>
    <row r="1" spans="1:14" ht="17.399999999999999" x14ac:dyDescent="0.3">
      <c r="A1" s="1" t="s">
        <v>921</v>
      </c>
    </row>
    <row r="2" spans="1:14" x14ac:dyDescent="0.3">
      <c r="A2" s="2" t="s">
        <v>922</v>
      </c>
    </row>
    <row r="4" spans="1:14" x14ac:dyDescent="0.3">
      <c r="A4" s="82" t="s">
        <v>63</v>
      </c>
      <c r="B4" s="82" t="s">
        <v>923</v>
      </c>
      <c r="C4" s="82" t="s">
        <v>552</v>
      </c>
      <c r="D4" s="82" t="s">
        <v>924</v>
      </c>
      <c r="E4" s="82" t="s">
        <v>925</v>
      </c>
      <c r="F4" s="82" t="s">
        <v>926</v>
      </c>
      <c r="G4" s="82" t="s">
        <v>853</v>
      </c>
      <c r="H4" s="82" t="s">
        <v>801</v>
      </c>
      <c r="I4" s="82" t="s">
        <v>802</v>
      </c>
      <c r="J4" s="82" t="s">
        <v>927</v>
      </c>
      <c r="K4" s="82" t="s">
        <v>928</v>
      </c>
      <c r="L4" s="82" t="s">
        <v>589</v>
      </c>
      <c r="M4" s="82" t="s">
        <v>929</v>
      </c>
      <c r="N4" s="82" t="s">
        <v>930</v>
      </c>
    </row>
    <row r="5" spans="1:14" x14ac:dyDescent="0.3">
      <c r="A5" s="83" t="s">
        <v>165</v>
      </c>
      <c r="B5" s="83" t="s">
        <v>164</v>
      </c>
      <c r="C5" s="83" t="s">
        <v>557</v>
      </c>
      <c r="D5" s="83" t="s">
        <v>708</v>
      </c>
      <c r="E5" s="83" t="s">
        <v>687</v>
      </c>
      <c r="F5" s="83" t="s">
        <v>615</v>
      </c>
      <c r="G5" s="83" t="s">
        <v>931</v>
      </c>
      <c r="H5" s="83" t="s">
        <v>809</v>
      </c>
      <c r="I5" s="83" t="s">
        <v>809</v>
      </c>
      <c r="J5" s="83" t="s">
        <v>62</v>
      </c>
      <c r="K5" s="83" t="s">
        <v>605</v>
      </c>
      <c r="L5" s="83" t="s">
        <v>521</v>
      </c>
      <c r="M5" s="83" t="s">
        <v>932</v>
      </c>
      <c r="N5" s="83" t="s">
        <v>933</v>
      </c>
    </row>
    <row r="6" spans="1:14" x14ac:dyDescent="0.3">
      <c r="A6" s="83" t="s">
        <v>934</v>
      </c>
      <c r="B6" s="83" t="s">
        <v>216</v>
      </c>
      <c r="C6" s="83" t="s">
        <v>560</v>
      </c>
      <c r="D6" s="83" t="s">
        <v>604</v>
      </c>
      <c r="E6" s="83" t="s">
        <v>688</v>
      </c>
      <c r="F6" s="83" t="s">
        <v>608</v>
      </c>
      <c r="G6" s="83" t="s">
        <v>865</v>
      </c>
      <c r="H6" s="83" t="s">
        <v>818</v>
      </c>
      <c r="I6" s="83" t="s">
        <v>818</v>
      </c>
      <c r="J6" s="83" t="s">
        <v>41</v>
      </c>
      <c r="K6" s="83" t="s">
        <v>935</v>
      </c>
      <c r="L6" s="83" t="s">
        <v>527</v>
      </c>
      <c r="M6" s="83" t="s">
        <v>936</v>
      </c>
      <c r="N6" s="83" t="s">
        <v>708</v>
      </c>
    </row>
    <row r="7" spans="1:14" x14ac:dyDescent="0.3">
      <c r="A7" s="83" t="s">
        <v>39</v>
      </c>
      <c r="B7" s="83" t="s">
        <v>239</v>
      </c>
      <c r="C7" s="83" t="s">
        <v>562</v>
      </c>
      <c r="D7" s="83" t="s">
        <v>612</v>
      </c>
      <c r="E7" s="83" t="s">
        <v>606</v>
      </c>
      <c r="F7" s="83" t="s">
        <v>937</v>
      </c>
      <c r="G7" s="83" t="s">
        <v>938</v>
      </c>
      <c r="H7" s="83" t="s">
        <v>847</v>
      </c>
      <c r="I7" s="83" t="s">
        <v>847</v>
      </c>
      <c r="J7" s="83" t="s">
        <v>874</v>
      </c>
      <c r="L7" s="83" t="s">
        <v>533</v>
      </c>
      <c r="M7" s="83" t="s">
        <v>939</v>
      </c>
      <c r="N7" s="83" t="s">
        <v>940</v>
      </c>
    </row>
    <row r="8" spans="1:14" x14ac:dyDescent="0.3">
      <c r="A8" s="83" t="s">
        <v>43</v>
      </c>
      <c r="B8" s="83" t="s">
        <v>250</v>
      </c>
      <c r="C8" s="83" t="s">
        <v>565</v>
      </c>
      <c r="D8" s="83" t="s">
        <v>941</v>
      </c>
      <c r="E8" s="83" t="s">
        <v>689</v>
      </c>
      <c r="F8" s="83" t="s">
        <v>942</v>
      </c>
      <c r="G8" s="83" t="s">
        <v>943</v>
      </c>
      <c r="J8" s="83" t="s">
        <v>944</v>
      </c>
      <c r="L8" s="83" t="s">
        <v>539</v>
      </c>
      <c r="M8" s="83" t="s">
        <v>941</v>
      </c>
      <c r="N8" s="83" t="s">
        <v>612</v>
      </c>
    </row>
    <row r="9" spans="1:14" x14ac:dyDescent="0.3">
      <c r="A9" s="83" t="s">
        <v>47</v>
      </c>
      <c r="B9" s="83" t="s">
        <v>259</v>
      </c>
      <c r="C9" s="83" t="s">
        <v>567</v>
      </c>
      <c r="E9" s="83" t="s">
        <v>690</v>
      </c>
      <c r="F9" s="83" t="s">
        <v>945</v>
      </c>
      <c r="J9" s="83" t="s">
        <v>862</v>
      </c>
      <c r="L9" s="83" t="s">
        <v>545</v>
      </c>
    </row>
    <row r="10" spans="1:14" x14ac:dyDescent="0.3">
      <c r="B10" s="83" t="s">
        <v>330</v>
      </c>
      <c r="C10" s="83" t="s">
        <v>569</v>
      </c>
      <c r="E10" s="83" t="s">
        <v>691</v>
      </c>
      <c r="F10" s="83" t="s">
        <v>946</v>
      </c>
      <c r="L10" s="83" t="s">
        <v>696</v>
      </c>
    </row>
    <row r="11" spans="1:14" x14ac:dyDescent="0.3">
      <c r="B11" s="83" t="s">
        <v>359</v>
      </c>
      <c r="C11" s="83" t="s">
        <v>571</v>
      </c>
      <c r="E11" s="83" t="s">
        <v>692</v>
      </c>
      <c r="F11" s="83" t="s">
        <v>947</v>
      </c>
    </row>
    <row r="12" spans="1:14" x14ac:dyDescent="0.3">
      <c r="B12" s="83" t="s">
        <v>351</v>
      </c>
      <c r="C12" s="83" t="s">
        <v>573</v>
      </c>
      <c r="E12" s="83" t="s">
        <v>613</v>
      </c>
    </row>
    <row r="13" spans="1:14" x14ac:dyDescent="0.3">
      <c r="B13" s="83" t="s">
        <v>391</v>
      </c>
      <c r="C13" s="83" t="s">
        <v>575</v>
      </c>
      <c r="E13" s="83" t="s">
        <v>693</v>
      </c>
    </row>
    <row r="14" spans="1:14" x14ac:dyDescent="0.3">
      <c r="B14" s="83" t="s">
        <v>288</v>
      </c>
      <c r="C14" s="83" t="s">
        <v>577</v>
      </c>
    </row>
    <row r="15" spans="1:14" x14ac:dyDescent="0.3">
      <c r="B15" s="83" t="s">
        <v>284</v>
      </c>
    </row>
    <row r="16" spans="1:14" x14ac:dyDescent="0.3">
      <c r="B16" s="83" t="s">
        <v>211</v>
      </c>
    </row>
  </sheetData>
  <pageMargins left="0.75" right="0.75" top="1" bottom="1" header="0.5" footer="0.5"/>
  <headerFooter>
    <oddHeader>&amp;R&amp;"Aptos"&amp;10&amp;K000000 Classification: Confidential&amp;1#_x000D_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548235"/>
  </sheetPr>
  <dimension ref="A1:B40"/>
  <sheetViews>
    <sheetView showGridLines="0" workbookViewId="0"/>
  </sheetViews>
  <sheetFormatPr defaultRowHeight="14.4" x14ac:dyDescent="0.3"/>
  <cols>
    <col min="1" max="1" width="20" customWidth="1"/>
    <col min="2" max="2" width="112" customWidth="1"/>
  </cols>
  <sheetData>
    <row r="1" spans="1:2" ht="17.399999999999999" x14ac:dyDescent="0.3">
      <c r="A1" s="1" t="s">
        <v>948</v>
      </c>
    </row>
    <row r="2" spans="1:2" x14ac:dyDescent="0.3">
      <c r="A2" s="2" t="s">
        <v>949</v>
      </c>
    </row>
    <row r="4" spans="1:2" x14ac:dyDescent="0.3">
      <c r="A4" s="92"/>
      <c r="B4" s="69"/>
    </row>
    <row r="5" spans="1:2" x14ac:dyDescent="0.3">
      <c r="A5" s="10" t="s">
        <v>950</v>
      </c>
    </row>
    <row r="6" spans="1:2" x14ac:dyDescent="0.3">
      <c r="A6" s="92" t="s">
        <v>40</v>
      </c>
      <c r="B6" s="69" t="s">
        <v>951</v>
      </c>
    </row>
    <row r="7" spans="1:2" x14ac:dyDescent="0.3">
      <c r="A7" s="92" t="s">
        <v>42</v>
      </c>
      <c r="B7" s="69" t="s">
        <v>952</v>
      </c>
    </row>
    <row r="8" spans="1:2" x14ac:dyDescent="0.3">
      <c r="A8" s="92" t="s">
        <v>44</v>
      </c>
      <c r="B8" s="69" t="s">
        <v>953</v>
      </c>
    </row>
    <row r="9" spans="1:2" x14ac:dyDescent="0.3">
      <c r="A9" s="92" t="s">
        <v>46</v>
      </c>
      <c r="B9" s="69" t="s">
        <v>954</v>
      </c>
    </row>
    <row r="10" spans="1:2" x14ac:dyDescent="0.3">
      <c r="A10" s="92"/>
      <c r="B10" s="69"/>
    </row>
    <row r="11" spans="1:2" x14ac:dyDescent="0.3">
      <c r="A11" s="10" t="s">
        <v>955</v>
      </c>
    </row>
    <row r="12" spans="1:2" x14ac:dyDescent="0.3">
      <c r="A12" s="92" t="s">
        <v>956</v>
      </c>
      <c r="B12" s="69" t="s">
        <v>957</v>
      </c>
    </row>
    <row r="13" spans="1:2" x14ac:dyDescent="0.3">
      <c r="A13" s="92" t="s">
        <v>958</v>
      </c>
      <c r="B13" s="69" t="s">
        <v>959</v>
      </c>
    </row>
    <row r="14" spans="1:2" x14ac:dyDescent="0.3">
      <c r="A14" s="92" t="s">
        <v>960</v>
      </c>
      <c r="B14" s="69" t="s">
        <v>961</v>
      </c>
    </row>
    <row r="15" spans="1:2" x14ac:dyDescent="0.3">
      <c r="A15" s="92"/>
      <c r="B15" s="69"/>
    </row>
    <row r="16" spans="1:2" x14ac:dyDescent="0.3">
      <c r="A16" s="10" t="s">
        <v>962</v>
      </c>
    </row>
    <row r="17" spans="1:2" ht="26.4" x14ac:dyDescent="0.3">
      <c r="A17" s="92" t="s">
        <v>963</v>
      </c>
      <c r="B17" s="69" t="s">
        <v>964</v>
      </c>
    </row>
    <row r="18" spans="1:2" x14ac:dyDescent="0.3">
      <c r="A18" s="92" t="s">
        <v>101</v>
      </c>
      <c r="B18" s="69" t="s">
        <v>965</v>
      </c>
    </row>
    <row r="19" spans="1:2" x14ac:dyDescent="0.3">
      <c r="A19" s="92" t="s">
        <v>966</v>
      </c>
      <c r="B19" s="69" t="s">
        <v>967</v>
      </c>
    </row>
    <row r="20" spans="1:2" ht="26.4" x14ac:dyDescent="0.3">
      <c r="A20" s="92" t="s">
        <v>88</v>
      </c>
      <c r="B20" s="69" t="s">
        <v>968</v>
      </c>
    </row>
    <row r="21" spans="1:2" x14ac:dyDescent="0.3">
      <c r="A21" s="92" t="s">
        <v>559</v>
      </c>
      <c r="B21" s="69" t="s">
        <v>969</v>
      </c>
    </row>
    <row r="22" spans="1:2" x14ac:dyDescent="0.3">
      <c r="A22" s="92" t="s">
        <v>91</v>
      </c>
      <c r="B22" s="69" t="s">
        <v>970</v>
      </c>
    </row>
    <row r="23" spans="1:2" x14ac:dyDescent="0.3">
      <c r="A23" s="92" t="s">
        <v>95</v>
      </c>
      <c r="B23" s="69" t="s">
        <v>971</v>
      </c>
    </row>
    <row r="24" spans="1:2" x14ac:dyDescent="0.3">
      <c r="A24" s="92" t="s">
        <v>99</v>
      </c>
      <c r="B24" s="69" t="s">
        <v>972</v>
      </c>
    </row>
    <row r="25" spans="1:2" x14ac:dyDescent="0.3">
      <c r="A25" s="92" t="s">
        <v>973</v>
      </c>
      <c r="B25" s="69" t="s">
        <v>974</v>
      </c>
    </row>
    <row r="26" spans="1:2" x14ac:dyDescent="0.3">
      <c r="A26" s="92" t="s">
        <v>564</v>
      </c>
      <c r="B26" s="69" t="s">
        <v>975</v>
      </c>
    </row>
    <row r="27" spans="1:2" x14ac:dyDescent="0.3">
      <c r="A27" s="92" t="s">
        <v>976</v>
      </c>
      <c r="B27" s="69" t="s">
        <v>977</v>
      </c>
    </row>
    <row r="28" spans="1:2" x14ac:dyDescent="0.3">
      <c r="A28" s="92" t="s">
        <v>978</v>
      </c>
      <c r="B28" s="69" t="s">
        <v>979</v>
      </c>
    </row>
    <row r="29" spans="1:2" x14ac:dyDescent="0.3">
      <c r="A29" s="92" t="s">
        <v>47</v>
      </c>
      <c r="B29" s="69" t="s">
        <v>980</v>
      </c>
    </row>
    <row r="30" spans="1:2" x14ac:dyDescent="0.3">
      <c r="A30" s="92" t="s">
        <v>981</v>
      </c>
      <c r="B30" s="69" t="s">
        <v>982</v>
      </c>
    </row>
    <row r="31" spans="1:2" x14ac:dyDescent="0.3">
      <c r="A31" s="92"/>
      <c r="B31" s="69"/>
    </row>
    <row r="32" spans="1:2" x14ac:dyDescent="0.3">
      <c r="A32" s="10" t="s">
        <v>983</v>
      </c>
    </row>
    <row r="33" spans="1:2" ht="39.6" x14ac:dyDescent="0.3">
      <c r="A33" s="92"/>
      <c r="B33" s="69" t="s">
        <v>984</v>
      </c>
    </row>
    <row r="34" spans="1:2" x14ac:dyDescent="0.3">
      <c r="A34" s="92"/>
      <c r="B34" s="69"/>
    </row>
    <row r="35" spans="1:2" x14ac:dyDescent="0.3">
      <c r="A35" s="10" t="s">
        <v>985</v>
      </c>
    </row>
    <row r="36" spans="1:2" x14ac:dyDescent="0.3">
      <c r="A36" s="92"/>
      <c r="B36" s="69" t="s">
        <v>986</v>
      </c>
    </row>
    <row r="37" spans="1:2" ht="39.6" x14ac:dyDescent="0.3">
      <c r="A37" s="92"/>
      <c r="B37" s="69" t="s">
        <v>987</v>
      </c>
    </row>
    <row r="38" spans="1:2" x14ac:dyDescent="0.3">
      <c r="A38" s="92"/>
      <c r="B38" s="69"/>
    </row>
    <row r="39" spans="1:2" x14ac:dyDescent="0.3">
      <c r="A39" s="10" t="s">
        <v>988</v>
      </c>
    </row>
    <row r="40" spans="1:2" ht="39.6" x14ac:dyDescent="0.3">
      <c r="A40" s="92"/>
      <c r="B40" s="69" t="s">
        <v>989</v>
      </c>
    </row>
  </sheetData>
  <pageMargins left="0.75" right="0.75" top="1" bottom="1" header="0.5" footer="0.5"/>
  <headerFooter>
    <oddHeader>&amp;R&amp;"Aptos"&amp;10&amp;K000000 Classification: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Dashboard</vt:lpstr>
      <vt:lpstr>WBS</vt:lpstr>
      <vt:lpstr>Gantt</vt:lpstr>
      <vt:lpstr>AI Policy</vt:lpstr>
      <vt:lpstr>AI Usage Log</vt:lpstr>
      <vt:lpstr>Prompt Library</vt:lpstr>
      <vt:lpstr>AI Failures</vt:lpstr>
      <vt:lpstr>Modified Impl</vt:lpstr>
      <vt:lpstr>AI Summary</vt:lpstr>
      <vt:lpstr>Decisions</vt:lpstr>
      <vt:lpstr>Risks</vt:lpstr>
      <vt:lpstr>Defects</vt:lpstr>
      <vt:lpstr>Deferred</vt:lpstr>
      <vt:lpstr>Lists</vt:lpstr>
      <vt:lpstr>How to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Malindu Pabasara</cp:lastModifiedBy>
  <dcterms:created xsi:type="dcterms:W3CDTF">2026-10-01T06:32:04Z</dcterms:created>
  <dcterms:modified xsi:type="dcterms:W3CDTF">2026-10-01T06:32:34Z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d4beeef-7df2-441c-a874-ae45ec9cd933_Enabled">
    <vt:lpwstr>true</vt:lpwstr>
  </property>
  <property fmtid="{D5CDD505-2E9C-101B-9397-08002B2CF9AE}" pid="3" name="MSIP_Label_2d4beeef-7df2-441c-a874-ae45ec9cd933_SetDate">
    <vt:lpwstr>2026-10-01T06:32:32Z</vt:lpwstr>
  </property>
  <property fmtid="{D5CDD505-2E9C-101B-9397-08002B2CF9AE}" pid="4" name="MSIP_Label_2d4beeef-7df2-441c-a874-ae45ec9cd933_Method">
    <vt:lpwstr>Standard</vt:lpwstr>
  </property>
  <property fmtid="{D5CDD505-2E9C-101B-9397-08002B2CF9AE}" pid="5" name="MSIP_Label_2d4beeef-7df2-441c-a874-ae45ec9cd933_Name">
    <vt:lpwstr>Sensitivity_Lable_Confidential</vt:lpwstr>
  </property>
  <property fmtid="{D5CDD505-2E9C-101B-9397-08002B2CF9AE}" pid="6" name="MSIP_Label_2d4beeef-7df2-441c-a874-ae45ec9cd933_SiteId">
    <vt:lpwstr>0910589a-eedf-41d6-9e62-ea8ee8eb918c</vt:lpwstr>
  </property>
  <property fmtid="{D5CDD505-2E9C-101B-9397-08002B2CF9AE}" pid="7" name="MSIP_Label_2d4beeef-7df2-441c-a874-ae45ec9cd933_ActionId">
    <vt:lpwstr>ca0de43e-fa6b-4c6a-90d7-9fbfa3ddbcab</vt:lpwstr>
  </property>
  <property fmtid="{D5CDD505-2E9C-101B-9397-08002B2CF9AE}" pid="8" name="MSIP_Label_2d4beeef-7df2-441c-a874-ae45ec9cd933_ContentBits">
    <vt:lpwstr>1</vt:lpwstr>
  </property>
  <property fmtid="{D5CDD505-2E9C-101B-9397-08002B2CF9AE}" pid="9" name="MSIP_Label_2d4beeef-7df2-441c-a874-ae45ec9cd933_Tag">
    <vt:lpwstr>10, 3, 0, 1</vt:lpwstr>
  </property>
</Properties>
</file>